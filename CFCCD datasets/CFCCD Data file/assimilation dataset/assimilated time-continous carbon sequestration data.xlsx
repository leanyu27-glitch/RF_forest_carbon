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assimilation dataset\"/>
    </mc:Choice>
  </mc:AlternateContent>
  <xr:revisionPtr revIDLastSave="0" documentId="13_ncr:1_{F030C445-1D66-4F4B-A538-EA6094209CAA}" xr6:coauthVersionLast="36" xr6:coauthVersionMax="36" xr10:uidLastSave="{00000000-0000-0000-0000-000000000000}"/>
  <bookViews>
    <workbookView xWindow="870" yWindow="3720" windowWidth="26250" windowHeight="16710" xr2:uid="{00000000-000D-0000-FFFF-FFFF00000000}"/>
  </bookViews>
  <sheets>
    <sheet name="ALF" sheetId="8" r:id="rId1"/>
    <sheet name="BJF" sheetId="1" r:id="rId2"/>
    <sheet name="BNF" sheetId="2" r:id="rId3"/>
    <sheet name="CBF" sheetId="3" r:id="rId4"/>
    <sheet name="DHF" sheetId="4" r:id="rId5"/>
    <sheet name="HTF" sheetId="6" r:id="rId6"/>
    <sheet name="HSF" sheetId="5" r:id="rId7"/>
    <sheet name="MXF" sheetId="10" r:id="rId8"/>
    <sheet name="SNF" sheetId="11" r:id="rId9"/>
    <sheet name="QYF" sheetId="7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8" l="1"/>
  <c r="P4" i="8"/>
  <c r="P5" i="8"/>
  <c r="P6" i="8"/>
  <c r="P7" i="8"/>
  <c r="P8" i="8"/>
  <c r="P9" i="8"/>
  <c r="P10" i="8"/>
  <c r="P11" i="8"/>
  <c r="P12" i="8"/>
  <c r="P2" i="8"/>
  <c r="N3" i="8"/>
  <c r="N4" i="8"/>
  <c r="N5" i="8"/>
  <c r="N6" i="8"/>
  <c r="N7" i="8"/>
  <c r="N8" i="8"/>
  <c r="N9" i="8"/>
  <c r="N10" i="8"/>
  <c r="N11" i="8"/>
  <c r="N12" i="8"/>
  <c r="N2" i="8"/>
  <c r="F3" i="8" l="1"/>
  <c r="F4" i="8"/>
  <c r="F5" i="8"/>
  <c r="F6" i="8"/>
  <c r="F7" i="8"/>
  <c r="F8" i="8"/>
  <c r="F9" i="8"/>
  <c r="F10" i="8"/>
  <c r="F11" i="8"/>
  <c r="F12" i="8"/>
  <c r="F2" i="8"/>
</calcChain>
</file>

<file path=xl/sharedStrings.xml><?xml version="1.0" encoding="utf-8"?>
<sst xmlns="http://schemas.openxmlformats.org/spreadsheetml/2006/main" count="170" uniqueCount="10">
  <si>
    <t>year</t>
    <phoneticPr fontId="1" type="noConversion"/>
  </si>
  <si>
    <t>biomass_C (g C m-2)</t>
    <phoneticPr fontId="1" type="noConversion"/>
  </si>
  <si>
    <t>SOC (g C m-2)</t>
    <phoneticPr fontId="1" type="noConversion"/>
  </si>
  <si>
    <t>NEP (g C m-2 yr-1)</t>
    <phoneticPr fontId="1" type="noConversion"/>
  </si>
  <si>
    <t>Total_C (g C m-2)</t>
    <phoneticPr fontId="1" type="noConversion"/>
  </si>
  <si>
    <t>std</t>
    <phoneticPr fontId="1" type="noConversion"/>
  </si>
  <si>
    <t>NPP(g C m-2 yr-1)</t>
  </si>
  <si>
    <t>GPP(g C m-2 yr-1)</t>
    <phoneticPr fontId="1" type="noConversion"/>
  </si>
  <si>
    <t>Ra(g C m-2 yr-1)</t>
    <phoneticPr fontId="1" type="noConversion"/>
  </si>
  <si>
    <t>Rh(g C m-2 yr-1)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</si>
</sst>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.00_);[Red]\(0.00\)"/>
    <numFmt numFmtId="178" formatCode="0_);[Red]\(0\)"/>
    <numFmt numFmtId="179" formatCode="0.00_ "/>
  </numFmts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6"/>
      <color rgb="FF333333"/>
      <name val="PingFang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0" xfId="2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2" applyFont="1" applyAlignment="1">
      <alignment horizontal="left" vertical="center"/>
    </xf>
    <xf numFmtId="0" fontId="3" fillId="0" borderId="0" xfId="2" applyAlignment="1">
      <alignment horizontal="left" vertical="center"/>
    </xf>
    <xf numFmtId="0" fontId="0" fillId="0" borderId="0" xfId="2" applyFont="1" applyFill="1" applyAlignment="1">
      <alignment horizontal="left" vertical="center"/>
    </xf>
    <xf numFmtId="179" fontId="0" fillId="0" borderId="0" xfId="0" applyNumberFormat="1" applyAlignment="1">
      <alignment horizontal="left" vertical="center"/>
    </xf>
    <xf numFmtId="179" fontId="3" fillId="0" borderId="0" xfId="1" applyNumberFormat="1" applyAlignment="1">
      <alignment horizontal="left" vertical="center"/>
    </xf>
    <xf numFmtId="179" fontId="3" fillId="0" borderId="0" xfId="2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0" fontId="3" fillId="0" borderId="0" xfId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" fillId="0" borderId="0" xfId="1" applyFill="1" applyAlignment="1">
      <alignment horizontal="left" vertical="center"/>
    </xf>
    <xf numFmtId="179" fontId="2" fillId="0" borderId="0" xfId="0" applyNumberFormat="1" applyFont="1" applyAlignment="1">
      <alignment horizontal="left" vertical="center"/>
    </xf>
    <xf numFmtId="179" fontId="0" fillId="0" borderId="0" xfId="2" applyNumberFormat="1" applyFont="1" applyAlignment="1">
      <alignment horizontal="left" vertical="center"/>
    </xf>
    <xf numFmtId="179" fontId="0" fillId="0" borderId="0" xfId="2" applyNumberFormat="1" applyFont="1" applyFill="1" applyAlignment="1">
      <alignment horizontal="left" vertical="center"/>
    </xf>
    <xf numFmtId="179" fontId="0" fillId="0" borderId="0" xfId="0" applyNumberFormat="1" applyFill="1" applyAlignment="1">
      <alignment horizontal="left" vertical="center"/>
    </xf>
    <xf numFmtId="179" fontId="4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/>
    </xf>
  </cellXfs>
  <cellStyles count="3">
    <cellStyle name="常规" xfId="0" builtinId="0"/>
    <cellStyle name="常规 2" xfId="1" xr:uid="{2F54449A-BC1E-47CC-AE05-EBF4E28EFFE1}"/>
    <cellStyle name="常规 3" xfId="2" xr:uid="{8A883A75-2244-4B0D-996F-29483AD965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9"/>
  <sheetViews>
    <sheetView tabSelected="1" workbookViewId="0"/>
  </sheetViews>
  <sheetFormatPr defaultColWidth="8.75" defaultRowHeight="14.25"/>
  <cols>
    <col min="1" max="17" width="10.625" style="4" customWidth="1"/>
  </cols>
  <sheetData>
    <row r="1" spans="1:17">
      <c r="A1" s="4" t="s">
        <v>0</v>
      </c>
      <c r="B1" s="4" t="s">
        <v>1</v>
      </c>
      <c r="C1" s="4" t="s">
        <v>5</v>
      </c>
      <c r="D1" s="4" t="s">
        <v>2</v>
      </c>
      <c r="E1" s="4" t="s">
        <v>5</v>
      </c>
      <c r="F1" s="4" t="s">
        <v>4</v>
      </c>
      <c r="G1" s="4" t="s">
        <v>5</v>
      </c>
      <c r="H1" s="4" t="s">
        <v>3</v>
      </c>
      <c r="I1" s="5" t="s">
        <v>5</v>
      </c>
      <c r="J1" s="6" t="s">
        <v>7</v>
      </c>
      <c r="K1" s="5" t="s">
        <v>5</v>
      </c>
      <c r="L1" s="7" t="s">
        <v>6</v>
      </c>
      <c r="M1" s="5" t="s">
        <v>5</v>
      </c>
      <c r="N1" s="8" t="s">
        <v>8</v>
      </c>
      <c r="O1" s="5" t="s">
        <v>5</v>
      </c>
      <c r="P1" s="8" t="s">
        <v>9</v>
      </c>
      <c r="Q1" s="5" t="s">
        <v>5</v>
      </c>
    </row>
    <row r="2" spans="1:17">
      <c r="A2" s="4">
        <v>2005</v>
      </c>
      <c r="B2" s="9">
        <v>23185.893763897289</v>
      </c>
      <c r="C2" s="9">
        <v>570.98966334995305</v>
      </c>
      <c r="D2" s="10">
        <v>28676.367519710089</v>
      </c>
      <c r="E2" s="10">
        <v>421.54181060709999</v>
      </c>
      <c r="F2" s="10">
        <f t="shared" ref="F2:F12" si="0">B2+D2</f>
        <v>51862.261283607382</v>
      </c>
      <c r="G2" s="10">
        <v>992.10914161421601</v>
      </c>
      <c r="H2" s="9">
        <v>298.13389177158007</v>
      </c>
      <c r="I2" s="9">
        <v>64.438401043719907</v>
      </c>
      <c r="J2" s="11">
        <v>1572.1087356952132</v>
      </c>
      <c r="K2" s="11">
        <v>157.928519066588</v>
      </c>
      <c r="L2" s="11">
        <v>535.85326256171334</v>
      </c>
      <c r="M2" s="11">
        <v>53.829935728109099</v>
      </c>
      <c r="N2" s="9">
        <f>J2-L2</f>
        <v>1036.2554731334999</v>
      </c>
      <c r="O2" s="9">
        <v>104.098583357154</v>
      </c>
      <c r="P2" s="9">
        <f>J2-H2-N2</f>
        <v>237.71937079013333</v>
      </c>
      <c r="Q2" s="9">
        <v>13.5827155877935</v>
      </c>
    </row>
    <row r="3" spans="1:17">
      <c r="A3" s="4">
        <v>2006</v>
      </c>
      <c r="B3" s="9">
        <v>23440.93601122206</v>
      </c>
      <c r="C3" s="9">
        <v>575.65014409663502</v>
      </c>
      <c r="D3" s="10">
        <v>28831.10000021075</v>
      </c>
      <c r="E3" s="10">
        <v>424.98248146045597</v>
      </c>
      <c r="F3" s="10">
        <f t="shared" si="0"/>
        <v>52272.036011432807</v>
      </c>
      <c r="G3" s="10">
        <v>1000.20684609099</v>
      </c>
      <c r="H3" s="9">
        <v>344.05540202511264</v>
      </c>
      <c r="I3" s="9">
        <v>64.964354395746</v>
      </c>
      <c r="J3" s="11">
        <v>1570.9190461249755</v>
      </c>
      <c r="K3" s="11">
        <v>159.217549095859</v>
      </c>
      <c r="L3" s="11">
        <v>535.44775687169783</v>
      </c>
      <c r="M3" s="11">
        <v>54.269301613621103</v>
      </c>
      <c r="N3" s="9">
        <f t="shared" ref="N3:N12" si="1">J3-L3</f>
        <v>1035.4712892532775</v>
      </c>
      <c r="O3" s="9">
        <v>104.94824750106601</v>
      </c>
      <c r="P3" s="9">
        <f t="shared" ref="P3:P12" si="2">J3-H3-N3</f>
        <v>191.39235484658525</v>
      </c>
      <c r="Q3" s="9">
        <v>13.693579213788301</v>
      </c>
    </row>
    <row r="4" spans="1:17">
      <c r="A4" s="4">
        <v>2007</v>
      </c>
      <c r="B4" s="9">
        <v>23643.715338196263</v>
      </c>
      <c r="C4" s="9">
        <v>578.68297035157104</v>
      </c>
      <c r="D4" s="10">
        <v>28984.080581312737</v>
      </c>
      <c r="E4" s="10">
        <v>427.22151160902598</v>
      </c>
      <c r="F4" s="10">
        <f t="shared" si="0"/>
        <v>52627.795919509001</v>
      </c>
      <c r="G4" s="10">
        <v>1005.47645926542</v>
      </c>
      <c r="H4" s="9">
        <v>275.8616526413407</v>
      </c>
      <c r="I4" s="9">
        <v>65.306620617107995</v>
      </c>
      <c r="J4" s="11">
        <v>1389.7253897874571</v>
      </c>
      <c r="K4" s="11">
        <v>160.05639047911399</v>
      </c>
      <c r="L4" s="11">
        <v>473.68789910905468</v>
      </c>
      <c r="M4" s="11">
        <v>54.555220699125996</v>
      </c>
      <c r="N4" s="9">
        <f t="shared" si="1"/>
        <v>916.03749067840238</v>
      </c>
      <c r="O4" s="9">
        <v>105.501169798915</v>
      </c>
      <c r="P4" s="9">
        <f t="shared" si="2"/>
        <v>197.82624646771399</v>
      </c>
      <c r="Q4" s="9">
        <v>13.765724156318999</v>
      </c>
    </row>
    <row r="5" spans="1:17">
      <c r="A5" s="4">
        <v>2008</v>
      </c>
      <c r="B5" s="9">
        <v>23795.577318630116</v>
      </c>
      <c r="C5" s="9">
        <v>583.50832049300197</v>
      </c>
      <c r="D5" s="10">
        <v>29148.583578584996</v>
      </c>
      <c r="E5" s="10">
        <v>430.78389980270799</v>
      </c>
      <c r="F5" s="10">
        <f t="shared" si="0"/>
        <v>52944.160897215115</v>
      </c>
      <c r="G5" s="10">
        <v>1013.86062853166</v>
      </c>
      <c r="H5" s="9">
        <v>246.17529319698926</v>
      </c>
      <c r="I5" s="9">
        <v>65.851180120629806</v>
      </c>
      <c r="J5" s="11">
        <v>1318.1918762350786</v>
      </c>
      <c r="K5" s="11">
        <v>161.391021297723</v>
      </c>
      <c r="L5" s="11">
        <v>449.30570101472654</v>
      </c>
      <c r="M5" s="11">
        <v>55.010129613684803</v>
      </c>
      <c r="N5" s="9">
        <f t="shared" si="1"/>
        <v>868.88617522035202</v>
      </c>
      <c r="O5" s="9">
        <v>106.380891703122</v>
      </c>
      <c r="P5" s="9">
        <f t="shared" si="2"/>
        <v>203.13040781773725</v>
      </c>
      <c r="Q5" s="9">
        <v>13.8805096993673</v>
      </c>
    </row>
    <row r="6" spans="1:17">
      <c r="A6" s="4">
        <v>2009</v>
      </c>
      <c r="B6" s="9">
        <v>23973.638599315404</v>
      </c>
      <c r="C6" s="9">
        <v>579.44387094648403</v>
      </c>
      <c r="D6" s="10">
        <v>29265.061991394832</v>
      </c>
      <c r="E6" s="10">
        <v>427.783258055695</v>
      </c>
      <c r="F6" s="10">
        <f t="shared" si="0"/>
        <v>53238.700590710236</v>
      </c>
      <c r="G6" s="10">
        <v>1006.79854350709</v>
      </c>
      <c r="H6" s="9">
        <v>395.01516224991121</v>
      </c>
      <c r="I6" s="9">
        <v>65.392491204329701</v>
      </c>
      <c r="J6" s="11">
        <v>1720.5543841745809</v>
      </c>
      <c r="K6" s="11">
        <v>160.266845959877</v>
      </c>
      <c r="L6" s="11">
        <v>586.45096184590591</v>
      </c>
      <c r="M6" s="11">
        <v>54.626954449749903</v>
      </c>
      <c r="N6" s="9">
        <f t="shared" si="1"/>
        <v>1134.1034223286752</v>
      </c>
      <c r="O6" s="9">
        <v>105.63989152907899</v>
      </c>
      <c r="P6" s="9">
        <f t="shared" si="2"/>
        <v>191.43579959599447</v>
      </c>
      <c r="Q6" s="9">
        <v>13.783824477628899</v>
      </c>
    </row>
    <row r="7" spans="1:17">
      <c r="A7" s="4">
        <v>2010</v>
      </c>
      <c r="B7" s="9">
        <v>24173.372258757146</v>
      </c>
      <c r="C7" s="9">
        <v>573.21405538566398</v>
      </c>
      <c r="D7" s="10">
        <v>29367.539990456389</v>
      </c>
      <c r="E7" s="10">
        <v>423.18400188729203</v>
      </c>
      <c r="F7" s="10">
        <f t="shared" si="0"/>
        <v>53540.912249213536</v>
      </c>
      <c r="G7" s="10">
        <v>995.97407965918001</v>
      </c>
      <c r="H7" s="9">
        <v>278.02477612822213</v>
      </c>
      <c r="I7" s="9">
        <v>64.689432323751504</v>
      </c>
      <c r="J7" s="11">
        <v>1418.4530384845591</v>
      </c>
      <c r="K7" s="11">
        <v>158.54375776979299</v>
      </c>
      <c r="L7" s="11">
        <v>483.47971816746201</v>
      </c>
      <c r="M7" s="11">
        <v>54.039639840113303</v>
      </c>
      <c r="N7" s="9">
        <f t="shared" si="1"/>
        <v>934.97332031709709</v>
      </c>
      <c r="O7" s="9">
        <v>104.504117948428</v>
      </c>
      <c r="P7" s="9">
        <f t="shared" si="2"/>
        <v>205.45494203923988</v>
      </c>
      <c r="Q7" s="9">
        <v>13.635629478037201</v>
      </c>
    </row>
    <row r="8" spans="1:17">
      <c r="A8" s="4">
        <v>2011</v>
      </c>
      <c r="B8" s="9">
        <v>24391.224925586583</v>
      </c>
      <c r="C8" s="9">
        <v>585.265927855683</v>
      </c>
      <c r="D8" s="10">
        <v>29569.753274319901</v>
      </c>
      <c r="E8" s="10">
        <v>432.08148019261199</v>
      </c>
      <c r="F8" s="10">
        <f t="shared" si="0"/>
        <v>53960.978199906487</v>
      </c>
      <c r="G8" s="10">
        <v>1016.91451627046</v>
      </c>
      <c r="H8" s="9">
        <v>280.67223476456275</v>
      </c>
      <c r="I8" s="9">
        <v>66.049532937473003</v>
      </c>
      <c r="J8" s="11">
        <v>1423.7012131442311</v>
      </c>
      <c r="K8" s="11">
        <v>161.87715326421099</v>
      </c>
      <c r="L8" s="11">
        <v>485.26855850021116</v>
      </c>
      <c r="M8" s="11">
        <v>55.175827694475402</v>
      </c>
      <c r="N8" s="9">
        <f t="shared" si="1"/>
        <v>938.43265464401998</v>
      </c>
      <c r="O8" s="9">
        <v>106.701325588877</v>
      </c>
      <c r="P8" s="9">
        <f t="shared" si="2"/>
        <v>204.59632373564841</v>
      </c>
      <c r="Q8" s="9">
        <v>13.922319704792301</v>
      </c>
    </row>
    <row r="9" spans="1:17">
      <c r="A9" s="4">
        <v>2012</v>
      </c>
      <c r="B9" s="9">
        <v>24434.8958031275</v>
      </c>
      <c r="C9" s="9">
        <v>569.06244276101097</v>
      </c>
      <c r="D9" s="10">
        <v>29628.469141169011</v>
      </c>
      <c r="E9" s="10">
        <v>420.11901067104498</v>
      </c>
      <c r="F9" s="10">
        <f t="shared" si="0"/>
        <v>54063.364944296511</v>
      </c>
      <c r="G9" s="10">
        <v>988.76054655738301</v>
      </c>
      <c r="H9" s="9">
        <v>235.65715961677893</v>
      </c>
      <c r="I9" s="9">
        <v>64.220906715571502</v>
      </c>
      <c r="J9" s="11">
        <v>1296.7529748422755</v>
      </c>
      <c r="K9" s="11">
        <v>157.395474226966</v>
      </c>
      <c r="L9" s="11">
        <v>441.99825147498962</v>
      </c>
      <c r="M9" s="11">
        <v>53.648247394509497</v>
      </c>
      <c r="N9" s="9">
        <f t="shared" si="1"/>
        <v>854.75472336728592</v>
      </c>
      <c r="O9" s="9">
        <v>103.74722685106801</v>
      </c>
      <c r="P9" s="9">
        <f t="shared" si="2"/>
        <v>206.34109185821069</v>
      </c>
      <c r="Q9" s="9">
        <v>13.536870818939001</v>
      </c>
    </row>
    <row r="10" spans="1:17">
      <c r="A10" s="4">
        <v>2013</v>
      </c>
      <c r="B10" s="9">
        <v>24640.988730376179</v>
      </c>
      <c r="C10" s="9">
        <v>565.282674824899</v>
      </c>
      <c r="D10" s="10">
        <v>29748.234853307145</v>
      </c>
      <c r="E10" s="10">
        <v>417.328539456356</v>
      </c>
      <c r="F10" s="10">
        <f t="shared" si="0"/>
        <v>54389.223583683328</v>
      </c>
      <c r="G10" s="10">
        <v>982.19310311086394</v>
      </c>
      <c r="H10" s="9">
        <v>420.56732536502614</v>
      </c>
      <c r="I10" s="9">
        <v>63.794345224614801</v>
      </c>
      <c r="J10" s="11">
        <v>1776.333524429532</v>
      </c>
      <c r="K10" s="11">
        <v>156.35003822193599</v>
      </c>
      <c r="L10" s="11">
        <v>605.46328180180592</v>
      </c>
      <c r="M10" s="11">
        <v>53.291910532167002</v>
      </c>
      <c r="N10" s="9">
        <f t="shared" si="1"/>
        <v>1170.8702426277259</v>
      </c>
      <c r="O10" s="9">
        <v>103.058127708258</v>
      </c>
      <c r="P10" s="9">
        <f t="shared" si="2"/>
        <v>184.8959564367799</v>
      </c>
      <c r="Q10" s="9">
        <v>13.4469576100678</v>
      </c>
    </row>
    <row r="11" spans="1:17">
      <c r="A11" s="4">
        <v>2014</v>
      </c>
      <c r="B11" s="9">
        <v>24907.858478441805</v>
      </c>
      <c r="C11" s="9">
        <v>565.60068866837605</v>
      </c>
      <c r="D11" s="10">
        <v>29892.647905766858</v>
      </c>
      <c r="E11" s="10">
        <v>417.56331801712901</v>
      </c>
      <c r="F11" s="10">
        <f t="shared" si="0"/>
        <v>54800.506384208667</v>
      </c>
      <c r="G11" s="10">
        <v>982.74566029626601</v>
      </c>
      <c r="H11" s="9">
        <v>328.28187367649286</v>
      </c>
      <c r="I11" s="9">
        <v>63.830234321911703</v>
      </c>
      <c r="J11" s="11">
        <v>1559.075297132573</v>
      </c>
      <c r="K11" s="11">
        <v>156.43799682883699</v>
      </c>
      <c r="L11" s="11">
        <v>531.41081502763757</v>
      </c>
      <c r="M11" s="11">
        <v>53.321891223331598</v>
      </c>
      <c r="N11" s="9">
        <f t="shared" si="1"/>
        <v>1027.6644821049354</v>
      </c>
      <c r="O11" s="9">
        <v>103.116105624005</v>
      </c>
      <c r="P11" s="9">
        <f t="shared" si="2"/>
        <v>203.12894135114493</v>
      </c>
      <c r="Q11" s="9">
        <v>13.454522530882</v>
      </c>
    </row>
    <row r="12" spans="1:17">
      <c r="A12" s="4">
        <v>2015</v>
      </c>
      <c r="B12" s="9">
        <v>25118.98290666211</v>
      </c>
      <c r="C12" s="9">
        <v>578.43508493500997</v>
      </c>
      <c r="D12" s="10">
        <v>30102.448021275355</v>
      </c>
      <c r="E12" s="10">
        <v>427.03850642692299</v>
      </c>
      <c r="F12" s="10">
        <f t="shared" si="0"/>
        <v>55221.430927937465</v>
      </c>
      <c r="G12" s="10">
        <v>1005.04575201513</v>
      </c>
      <c r="H12" s="9">
        <v>214.26339783570074</v>
      </c>
      <c r="I12" s="9">
        <v>65.278645785144207</v>
      </c>
      <c r="J12" s="11">
        <v>1273.4933892400395</v>
      </c>
      <c r="K12" s="11">
        <v>159.987828508121</v>
      </c>
      <c r="L12" s="11">
        <v>434.07022172246747</v>
      </c>
      <c r="M12" s="11">
        <v>54.531851351311197</v>
      </c>
      <c r="N12" s="9">
        <f t="shared" si="1"/>
        <v>839.42316751757198</v>
      </c>
      <c r="O12" s="9">
        <v>105.45597717572799</v>
      </c>
      <c r="P12" s="9">
        <f t="shared" si="2"/>
        <v>219.80682388676678</v>
      </c>
      <c r="Q12" s="9">
        <v>13.759827452179399</v>
      </c>
    </row>
    <row r="13" spans="1:17">
      <c r="B13" s="7"/>
      <c r="C13" s="7"/>
      <c r="D13" s="7"/>
      <c r="E13" s="15"/>
      <c r="F13" s="7"/>
      <c r="G13" s="15"/>
      <c r="H13" s="7"/>
      <c r="J13" s="7"/>
      <c r="K13" s="7"/>
      <c r="L13" s="7"/>
      <c r="M13" s="15"/>
      <c r="N13" s="7"/>
      <c r="O13" s="15"/>
      <c r="P13" s="7"/>
    </row>
    <row r="14" spans="1:17">
      <c r="B14" s="7"/>
      <c r="C14" s="7"/>
      <c r="D14" s="15"/>
      <c r="E14" s="15"/>
      <c r="F14" s="15"/>
      <c r="G14" s="15"/>
      <c r="H14" s="7"/>
    </row>
    <row r="15" spans="1:17">
      <c r="B15" s="7"/>
      <c r="C15" s="7"/>
      <c r="D15" s="15"/>
      <c r="E15" s="15"/>
      <c r="F15" s="15"/>
      <c r="G15" s="15"/>
      <c r="H15" s="7"/>
    </row>
    <row r="16" spans="1:17">
      <c r="B16" s="7"/>
      <c r="C16" s="7"/>
      <c r="D16" s="15"/>
      <c r="E16" s="15"/>
      <c r="F16" s="15"/>
      <c r="G16" s="15"/>
      <c r="H16" s="7"/>
    </row>
    <row r="17" spans="2:8">
      <c r="B17" s="7"/>
      <c r="C17" s="7"/>
      <c r="D17" s="15"/>
      <c r="E17" s="15"/>
      <c r="F17" s="15"/>
      <c r="G17" s="15"/>
      <c r="H17" s="7"/>
    </row>
    <row r="18" spans="2:8">
      <c r="B18" s="7"/>
      <c r="C18" s="7"/>
      <c r="D18" s="15"/>
      <c r="E18" s="15"/>
      <c r="F18" s="15"/>
      <c r="G18" s="15"/>
      <c r="H18" s="7"/>
    </row>
    <row r="19" spans="2:8">
      <c r="B19" s="7"/>
      <c r="C19" s="7"/>
      <c r="D19" s="15"/>
      <c r="E19" s="15"/>
      <c r="F19" s="15"/>
      <c r="G19" s="15"/>
      <c r="H19" s="7"/>
    </row>
    <row r="20" spans="2:8">
      <c r="B20" s="7"/>
      <c r="C20" s="7"/>
      <c r="D20" s="15"/>
      <c r="E20" s="15"/>
      <c r="F20" s="15"/>
      <c r="G20" s="15"/>
      <c r="H20" s="7"/>
    </row>
    <row r="21" spans="2:8">
      <c r="B21" s="7"/>
      <c r="C21" s="7"/>
      <c r="D21" s="15"/>
      <c r="E21" s="15"/>
      <c r="F21" s="15"/>
      <c r="G21" s="15"/>
      <c r="H21" s="7"/>
    </row>
    <row r="22" spans="2:8">
      <c r="B22" s="7"/>
      <c r="C22" s="7"/>
      <c r="D22" s="15"/>
      <c r="E22" s="15"/>
      <c r="F22" s="15"/>
      <c r="G22" s="15"/>
      <c r="H22" s="7"/>
    </row>
    <row r="23" spans="2:8">
      <c r="B23" s="7"/>
      <c r="C23" s="7"/>
      <c r="D23" s="15"/>
      <c r="E23" s="15"/>
      <c r="F23" s="15"/>
      <c r="G23" s="15"/>
      <c r="H23" s="7"/>
    </row>
    <row r="35" spans="2:8">
      <c r="B35" s="7"/>
      <c r="C35" s="7"/>
      <c r="D35" s="15"/>
      <c r="E35" s="15"/>
      <c r="F35" s="15"/>
      <c r="G35" s="15"/>
      <c r="H35" s="7"/>
    </row>
    <row r="36" spans="2:8">
      <c r="B36" s="7"/>
      <c r="C36" s="7"/>
      <c r="D36" s="15"/>
      <c r="E36" s="15"/>
      <c r="F36" s="15"/>
      <c r="G36" s="15"/>
      <c r="H36" s="7"/>
    </row>
    <row r="37" spans="2:8">
      <c r="B37" s="7"/>
      <c r="C37" s="7"/>
      <c r="D37" s="15"/>
      <c r="E37" s="15"/>
      <c r="F37" s="15"/>
      <c r="G37" s="15"/>
      <c r="H37" s="7"/>
    </row>
    <row r="38" spans="2:8">
      <c r="B38" s="7"/>
      <c r="C38" s="7"/>
      <c r="D38" s="15"/>
      <c r="E38" s="15"/>
      <c r="F38" s="15"/>
      <c r="G38" s="15"/>
      <c r="H38" s="7"/>
    </row>
    <row r="39" spans="2:8">
      <c r="B39" s="7"/>
      <c r="C39" s="7"/>
      <c r="D39" s="15"/>
      <c r="E39" s="15"/>
      <c r="F39" s="15"/>
      <c r="G39" s="15"/>
      <c r="H39" s="7"/>
    </row>
    <row r="40" spans="2:8">
      <c r="B40" s="7"/>
      <c r="C40" s="7"/>
      <c r="D40" s="15"/>
      <c r="E40" s="15"/>
      <c r="F40" s="15"/>
      <c r="G40" s="15"/>
      <c r="H40" s="7"/>
    </row>
    <row r="41" spans="2:8">
      <c r="B41" s="7"/>
      <c r="C41" s="7"/>
      <c r="D41" s="15"/>
      <c r="E41" s="15"/>
      <c r="F41" s="15"/>
      <c r="G41" s="15"/>
      <c r="H41" s="7"/>
    </row>
    <row r="42" spans="2:8">
      <c r="B42" s="7"/>
      <c r="C42" s="7"/>
      <c r="D42" s="15"/>
      <c r="E42" s="15"/>
      <c r="F42" s="15"/>
      <c r="G42" s="15"/>
      <c r="H42" s="7"/>
    </row>
    <row r="43" spans="2:8">
      <c r="B43" s="7"/>
      <c r="C43" s="7"/>
      <c r="D43" s="15"/>
      <c r="E43" s="15"/>
      <c r="F43" s="15"/>
      <c r="G43" s="15"/>
      <c r="H43" s="7"/>
    </row>
    <row r="44" spans="2:8">
      <c r="B44" s="7"/>
      <c r="C44" s="7"/>
      <c r="D44" s="15"/>
      <c r="E44" s="15"/>
      <c r="F44" s="15"/>
      <c r="G44" s="15"/>
      <c r="H44" s="7"/>
    </row>
    <row r="45" spans="2:8">
      <c r="B45" s="7"/>
      <c r="C45" s="7"/>
      <c r="D45" s="15"/>
      <c r="E45" s="15"/>
      <c r="F45" s="15"/>
      <c r="G45" s="15"/>
      <c r="H45" s="7"/>
    </row>
    <row r="46" spans="2:8">
      <c r="B46" s="7"/>
      <c r="C46" s="7"/>
      <c r="D46" s="15"/>
      <c r="E46" s="15"/>
      <c r="F46" s="15"/>
      <c r="G46" s="15"/>
      <c r="H46" s="7"/>
    </row>
    <row r="47" spans="2:8">
      <c r="B47" s="7"/>
      <c r="C47" s="7"/>
      <c r="D47" s="15"/>
      <c r="E47" s="15"/>
      <c r="F47" s="15"/>
      <c r="G47" s="15"/>
      <c r="H47" s="7"/>
    </row>
    <row r="48" spans="2:8">
      <c r="B48" s="7"/>
      <c r="C48" s="7"/>
      <c r="D48" s="15"/>
      <c r="E48" s="15"/>
      <c r="F48" s="15"/>
      <c r="G48" s="15"/>
      <c r="H48" s="7"/>
    </row>
    <row r="49" spans="1:8">
      <c r="B49" s="7"/>
      <c r="C49" s="7"/>
      <c r="D49" s="15"/>
      <c r="E49" s="15"/>
      <c r="F49" s="15"/>
      <c r="G49" s="15"/>
      <c r="H49" s="7"/>
    </row>
    <row r="50" spans="1:8">
      <c r="B50" s="7"/>
      <c r="C50" s="7"/>
      <c r="D50" s="15"/>
      <c r="E50" s="15"/>
      <c r="F50" s="15"/>
      <c r="G50" s="15"/>
      <c r="H50" s="7"/>
    </row>
    <row r="51" spans="1:8">
      <c r="B51" s="7"/>
      <c r="C51" s="7"/>
      <c r="D51" s="15"/>
      <c r="E51" s="15"/>
      <c r="F51" s="15"/>
      <c r="G51" s="15"/>
      <c r="H51" s="7"/>
    </row>
    <row r="52" spans="1:8">
      <c r="B52" s="7"/>
      <c r="C52" s="7"/>
      <c r="D52" s="15"/>
      <c r="E52" s="15"/>
      <c r="F52" s="15"/>
      <c r="G52" s="15"/>
      <c r="H52" s="7"/>
    </row>
    <row r="53" spans="1:8">
      <c r="B53" s="7"/>
      <c r="C53" s="7"/>
      <c r="D53" s="15"/>
      <c r="E53" s="15"/>
      <c r="F53" s="15"/>
      <c r="G53" s="15"/>
      <c r="H53" s="7"/>
    </row>
    <row r="54" spans="1:8">
      <c r="B54" s="7"/>
      <c r="C54" s="7"/>
      <c r="D54" s="15"/>
      <c r="E54" s="15"/>
      <c r="F54" s="15"/>
      <c r="G54" s="15"/>
      <c r="H54" s="7"/>
    </row>
    <row r="55" spans="1:8">
      <c r="B55" s="7"/>
      <c r="C55" s="7"/>
      <c r="D55" s="15"/>
      <c r="E55" s="15"/>
      <c r="F55" s="15"/>
      <c r="G55" s="15"/>
      <c r="H55" s="7"/>
    </row>
    <row r="56" spans="1:8">
      <c r="B56" s="7"/>
      <c r="C56" s="7"/>
      <c r="D56" s="15"/>
      <c r="E56" s="15"/>
      <c r="F56" s="15"/>
      <c r="G56" s="15"/>
      <c r="H56" s="7"/>
    </row>
    <row r="57" spans="1:8">
      <c r="A57" s="16"/>
      <c r="B57" s="7"/>
      <c r="C57" s="7"/>
      <c r="D57" s="15"/>
      <c r="E57" s="15"/>
      <c r="F57" s="15"/>
      <c r="G57" s="15"/>
      <c r="H57" s="7"/>
    </row>
    <row r="58" spans="1:8">
      <c r="A58" s="16"/>
      <c r="B58" s="7"/>
      <c r="C58" s="7"/>
      <c r="D58" s="15"/>
      <c r="E58" s="15"/>
      <c r="F58" s="15"/>
      <c r="G58" s="15"/>
      <c r="H58" s="7"/>
    </row>
    <row r="59" spans="1:8">
      <c r="A59" s="16"/>
      <c r="B59" s="7"/>
      <c r="C59" s="7"/>
      <c r="D59" s="15"/>
      <c r="E59" s="15"/>
      <c r="F59" s="15"/>
      <c r="G59" s="15"/>
      <c r="H59" s="7"/>
    </row>
    <row r="60" spans="1:8">
      <c r="A60" s="16"/>
      <c r="B60" s="7"/>
      <c r="C60" s="7"/>
      <c r="D60" s="15"/>
      <c r="E60" s="15"/>
      <c r="F60" s="15"/>
      <c r="G60" s="15"/>
      <c r="H60" s="7"/>
    </row>
    <row r="61" spans="1:8">
      <c r="A61" s="16"/>
      <c r="B61" s="7"/>
      <c r="C61" s="7"/>
      <c r="D61" s="15"/>
      <c r="E61" s="15"/>
      <c r="F61" s="15"/>
      <c r="G61" s="15"/>
      <c r="H61" s="7"/>
    </row>
    <row r="62" spans="1:8">
      <c r="A62" s="16"/>
      <c r="B62" s="7"/>
      <c r="C62" s="7"/>
      <c r="D62" s="15"/>
      <c r="E62" s="15"/>
      <c r="F62" s="15"/>
      <c r="G62" s="15"/>
      <c r="H62" s="7"/>
    </row>
    <row r="63" spans="1:8">
      <c r="A63" s="16"/>
      <c r="B63" s="7"/>
      <c r="C63" s="7"/>
      <c r="D63" s="15"/>
      <c r="E63" s="15"/>
      <c r="F63" s="15"/>
      <c r="G63" s="15"/>
      <c r="H63" s="7"/>
    </row>
    <row r="64" spans="1:8">
      <c r="A64" s="16"/>
      <c r="B64" s="7"/>
      <c r="C64" s="7"/>
      <c r="D64" s="15"/>
      <c r="E64" s="15"/>
      <c r="F64" s="15"/>
      <c r="G64" s="15"/>
      <c r="H64" s="7"/>
    </row>
    <row r="65" spans="1:8">
      <c r="A65" s="16"/>
      <c r="B65" s="7"/>
      <c r="C65" s="7"/>
      <c r="D65" s="15"/>
      <c r="E65" s="15"/>
      <c r="F65" s="15"/>
      <c r="G65" s="15"/>
      <c r="H65" s="7"/>
    </row>
    <row r="66" spans="1:8">
      <c r="A66" s="16"/>
      <c r="B66" s="7"/>
      <c r="C66" s="7"/>
      <c r="D66" s="15"/>
      <c r="E66" s="15"/>
      <c r="F66" s="15"/>
      <c r="G66" s="15"/>
      <c r="H66" s="7"/>
    </row>
    <row r="67" spans="1:8">
      <c r="A67" s="16"/>
      <c r="B67" s="7"/>
      <c r="C67" s="7"/>
      <c r="D67" s="15"/>
      <c r="E67" s="15"/>
      <c r="F67" s="15"/>
      <c r="G67" s="15"/>
      <c r="H67" s="7"/>
    </row>
    <row r="68" spans="1:8">
      <c r="B68" s="7"/>
      <c r="C68" s="7"/>
      <c r="D68" s="15"/>
      <c r="E68" s="15"/>
      <c r="F68" s="15"/>
      <c r="G68" s="15"/>
      <c r="H68" s="7"/>
    </row>
    <row r="69" spans="1:8">
      <c r="B69" s="7"/>
      <c r="C69" s="7"/>
      <c r="D69" s="15"/>
      <c r="E69" s="15"/>
      <c r="F69" s="15"/>
      <c r="G69" s="15"/>
      <c r="H69" s="7"/>
    </row>
    <row r="70" spans="1:8">
      <c r="B70" s="7"/>
      <c r="C70" s="7"/>
      <c r="D70" s="15"/>
      <c r="E70" s="15"/>
      <c r="F70" s="15"/>
      <c r="G70" s="15"/>
      <c r="H70" s="7"/>
    </row>
    <row r="71" spans="1:8">
      <c r="B71" s="7"/>
      <c r="C71" s="7"/>
      <c r="D71" s="15"/>
      <c r="E71" s="15"/>
      <c r="F71" s="15"/>
      <c r="G71" s="15"/>
      <c r="H71" s="7"/>
    </row>
    <row r="72" spans="1:8">
      <c r="B72" s="7"/>
      <c r="C72" s="7"/>
      <c r="D72" s="15"/>
      <c r="E72" s="15"/>
      <c r="F72" s="15"/>
      <c r="G72" s="15"/>
      <c r="H72" s="7"/>
    </row>
    <row r="73" spans="1:8">
      <c r="B73" s="7"/>
      <c r="C73" s="7"/>
      <c r="D73" s="15"/>
      <c r="E73" s="15"/>
      <c r="F73" s="15"/>
      <c r="G73" s="15"/>
      <c r="H73" s="7"/>
    </row>
    <row r="74" spans="1:8">
      <c r="B74" s="7"/>
      <c r="C74" s="7"/>
      <c r="D74" s="15"/>
      <c r="E74" s="15"/>
      <c r="F74" s="15"/>
      <c r="G74" s="15"/>
      <c r="H74" s="7"/>
    </row>
    <row r="75" spans="1:8">
      <c r="B75" s="7"/>
      <c r="C75" s="7"/>
      <c r="D75" s="15"/>
      <c r="E75" s="15"/>
      <c r="F75" s="15"/>
      <c r="G75" s="15"/>
      <c r="H75" s="7"/>
    </row>
    <row r="76" spans="1:8">
      <c r="B76" s="7"/>
      <c r="C76" s="7"/>
      <c r="D76" s="15"/>
      <c r="E76" s="15"/>
      <c r="F76" s="15"/>
      <c r="G76" s="15"/>
      <c r="H76" s="7"/>
    </row>
    <row r="77" spans="1:8">
      <c r="B77" s="7"/>
      <c r="C77" s="7"/>
      <c r="D77" s="15"/>
      <c r="E77" s="15"/>
      <c r="F77" s="15"/>
      <c r="G77" s="15"/>
      <c r="H77" s="7"/>
    </row>
    <row r="78" spans="1:8">
      <c r="B78" s="7"/>
      <c r="C78" s="7"/>
      <c r="D78" s="15"/>
      <c r="E78" s="15"/>
      <c r="F78" s="15"/>
      <c r="G78" s="15"/>
      <c r="H78" s="7"/>
    </row>
    <row r="79" spans="1:8">
      <c r="B79" s="7"/>
      <c r="C79" s="7"/>
      <c r="D79" s="15"/>
      <c r="E79" s="15"/>
      <c r="F79" s="15"/>
      <c r="G79" s="15"/>
      <c r="H79" s="7"/>
    </row>
    <row r="80" spans="1:8">
      <c r="B80" s="7"/>
      <c r="C80" s="7"/>
      <c r="D80" s="15"/>
      <c r="E80" s="15"/>
      <c r="F80" s="15"/>
      <c r="G80" s="15"/>
      <c r="H80" s="7"/>
    </row>
    <row r="81" spans="2:8">
      <c r="B81" s="7"/>
      <c r="C81" s="7"/>
      <c r="D81" s="15"/>
      <c r="E81" s="15"/>
      <c r="F81" s="15"/>
      <c r="G81" s="15"/>
      <c r="H81" s="7"/>
    </row>
    <row r="82" spans="2:8">
      <c r="B82" s="7"/>
      <c r="C82" s="7"/>
      <c r="D82" s="15"/>
      <c r="E82" s="15"/>
      <c r="F82" s="15"/>
      <c r="G82" s="15"/>
      <c r="H82" s="7"/>
    </row>
    <row r="83" spans="2:8">
      <c r="B83" s="7"/>
      <c r="C83" s="7"/>
      <c r="D83" s="15"/>
      <c r="E83" s="15"/>
      <c r="F83" s="15"/>
      <c r="G83" s="15"/>
      <c r="H83" s="7"/>
    </row>
    <row r="84" spans="2:8">
      <c r="B84" s="7"/>
      <c r="C84" s="7"/>
      <c r="D84" s="15"/>
      <c r="E84" s="15"/>
      <c r="F84" s="15"/>
      <c r="G84" s="15"/>
      <c r="H84" s="7"/>
    </row>
    <row r="85" spans="2:8">
      <c r="B85" s="7"/>
      <c r="C85" s="7"/>
      <c r="D85" s="15"/>
      <c r="E85" s="15"/>
      <c r="F85" s="15"/>
      <c r="G85" s="15"/>
      <c r="H85" s="7"/>
    </row>
    <row r="86" spans="2:8">
      <c r="B86" s="7"/>
      <c r="C86" s="7"/>
      <c r="D86" s="15"/>
      <c r="E86" s="15"/>
      <c r="F86" s="15"/>
      <c r="G86" s="15"/>
      <c r="H86" s="7"/>
    </row>
    <row r="87" spans="2:8">
      <c r="B87" s="7"/>
      <c r="C87" s="7"/>
      <c r="D87" s="15"/>
      <c r="E87" s="15"/>
      <c r="F87" s="15"/>
      <c r="G87" s="15"/>
      <c r="H87" s="7"/>
    </row>
    <row r="88" spans="2:8">
      <c r="B88" s="7"/>
      <c r="C88" s="7"/>
      <c r="D88" s="15"/>
      <c r="E88" s="15"/>
      <c r="F88" s="15"/>
      <c r="G88" s="15"/>
      <c r="H88" s="7"/>
    </row>
    <row r="89" spans="2:8">
      <c r="B89" s="7"/>
      <c r="C89" s="7"/>
      <c r="D89" s="15"/>
      <c r="E89" s="15"/>
      <c r="F89" s="15"/>
      <c r="G89" s="15"/>
      <c r="H89" s="7"/>
    </row>
    <row r="90" spans="2:8">
      <c r="B90" s="7"/>
      <c r="C90" s="7"/>
      <c r="D90" s="15"/>
      <c r="E90" s="15"/>
      <c r="F90" s="15"/>
      <c r="G90" s="15"/>
      <c r="H90" s="7"/>
    </row>
    <row r="91" spans="2:8">
      <c r="B91" s="7"/>
      <c r="C91" s="7"/>
      <c r="D91" s="15"/>
      <c r="E91" s="15"/>
      <c r="F91" s="15"/>
      <c r="G91" s="15"/>
      <c r="H91" s="7"/>
    </row>
    <row r="92" spans="2:8">
      <c r="B92" s="7"/>
      <c r="C92" s="7"/>
      <c r="D92" s="15"/>
      <c r="E92" s="15"/>
      <c r="F92" s="15"/>
      <c r="G92" s="15"/>
      <c r="H92" s="7"/>
    </row>
    <row r="93" spans="2:8">
      <c r="B93" s="7"/>
      <c r="C93" s="7"/>
      <c r="D93" s="15"/>
      <c r="E93" s="15"/>
      <c r="F93" s="15"/>
      <c r="G93" s="15"/>
      <c r="H93" s="7"/>
    </row>
    <row r="94" spans="2:8">
      <c r="B94" s="7"/>
      <c r="C94" s="7"/>
      <c r="D94" s="15"/>
      <c r="E94" s="15"/>
      <c r="F94" s="15"/>
      <c r="G94" s="15"/>
      <c r="H94" s="7"/>
    </row>
    <row r="95" spans="2:8">
      <c r="B95" s="7"/>
      <c r="C95" s="7"/>
      <c r="D95" s="15"/>
      <c r="E95" s="15"/>
      <c r="F95" s="15"/>
      <c r="G95" s="15"/>
      <c r="H95" s="7"/>
    </row>
    <row r="96" spans="2:8">
      <c r="B96" s="7"/>
      <c r="C96" s="7"/>
      <c r="D96" s="15"/>
      <c r="E96" s="15"/>
      <c r="F96" s="15"/>
      <c r="G96" s="15"/>
      <c r="H96" s="7"/>
    </row>
    <row r="97" spans="2:8">
      <c r="B97" s="7"/>
      <c r="C97" s="7"/>
      <c r="D97" s="15"/>
      <c r="E97" s="15"/>
      <c r="F97" s="15"/>
      <c r="G97" s="15"/>
      <c r="H97" s="7"/>
    </row>
    <row r="98" spans="2:8">
      <c r="B98" s="7"/>
      <c r="C98" s="7"/>
      <c r="D98" s="15"/>
      <c r="E98" s="15"/>
      <c r="F98" s="15"/>
      <c r="G98" s="15"/>
      <c r="H98" s="7"/>
    </row>
    <row r="99" spans="2:8">
      <c r="B99" s="7"/>
      <c r="C99" s="7"/>
      <c r="D99" s="15"/>
      <c r="E99" s="15"/>
      <c r="F99" s="15"/>
      <c r="G99" s="15"/>
      <c r="H99" s="7"/>
    </row>
    <row r="100" spans="2:8">
      <c r="B100" s="7"/>
      <c r="C100" s="7"/>
      <c r="D100" s="15"/>
      <c r="E100" s="15"/>
      <c r="F100" s="15"/>
      <c r="G100" s="15"/>
      <c r="H100" s="7"/>
    </row>
    <row r="101" spans="2:8">
      <c r="B101" s="7"/>
      <c r="C101" s="7"/>
      <c r="D101" s="15"/>
      <c r="E101" s="15"/>
      <c r="F101" s="15"/>
      <c r="G101" s="15"/>
      <c r="H101" s="7"/>
    </row>
    <row r="102" spans="2:8">
      <c r="B102" s="7"/>
      <c r="C102" s="7"/>
      <c r="D102" s="15"/>
      <c r="E102" s="15"/>
      <c r="F102" s="15"/>
      <c r="G102" s="15"/>
      <c r="H102" s="7"/>
    </row>
    <row r="103" spans="2:8">
      <c r="B103" s="7"/>
      <c r="C103" s="7"/>
      <c r="D103" s="15"/>
      <c r="E103" s="15"/>
      <c r="F103" s="15"/>
      <c r="G103" s="15"/>
      <c r="H103" s="7"/>
    </row>
    <row r="104" spans="2:8">
      <c r="B104" s="7"/>
      <c r="C104" s="7"/>
      <c r="D104" s="15"/>
      <c r="E104" s="15"/>
      <c r="F104" s="15"/>
      <c r="G104" s="15"/>
      <c r="H104" s="7"/>
    </row>
    <row r="105" spans="2:8">
      <c r="B105" s="7"/>
      <c r="C105" s="7"/>
      <c r="D105" s="15"/>
      <c r="E105" s="15"/>
      <c r="F105" s="15"/>
      <c r="G105" s="15"/>
      <c r="H105" s="7"/>
    </row>
    <row r="106" spans="2:8">
      <c r="B106" s="7"/>
      <c r="C106" s="7"/>
      <c r="D106" s="15"/>
      <c r="E106" s="15"/>
      <c r="F106" s="15"/>
      <c r="G106" s="15"/>
      <c r="H106" s="7"/>
    </row>
    <row r="107" spans="2:8">
      <c r="B107" s="7"/>
      <c r="C107" s="7"/>
      <c r="D107" s="15"/>
      <c r="E107" s="15"/>
      <c r="F107" s="15"/>
      <c r="G107" s="15"/>
      <c r="H107" s="7"/>
    </row>
    <row r="108" spans="2:8">
      <c r="B108" s="7"/>
      <c r="C108" s="7"/>
      <c r="D108" s="15"/>
      <c r="E108" s="15"/>
      <c r="F108" s="15"/>
      <c r="G108" s="15"/>
      <c r="H108" s="7"/>
    </row>
    <row r="109" spans="2:8">
      <c r="F109" s="17"/>
      <c r="G109" s="17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workbookViewId="0"/>
  </sheetViews>
  <sheetFormatPr defaultColWidth="8.75" defaultRowHeight="14.25"/>
  <cols>
    <col min="1" max="17" width="10.625" style="4" customWidth="1"/>
  </cols>
  <sheetData>
    <row r="1" spans="1:17">
      <c r="A1" s="4" t="s">
        <v>0</v>
      </c>
      <c r="B1" s="4" t="s">
        <v>1</v>
      </c>
      <c r="C1" s="4" t="s">
        <v>5</v>
      </c>
      <c r="D1" s="4" t="s">
        <v>2</v>
      </c>
      <c r="E1" s="4" t="s">
        <v>5</v>
      </c>
      <c r="F1" s="4" t="s">
        <v>4</v>
      </c>
      <c r="G1" s="4" t="s">
        <v>5</v>
      </c>
      <c r="H1" s="4" t="s">
        <v>3</v>
      </c>
      <c r="I1" s="5" t="s">
        <v>5</v>
      </c>
      <c r="J1" s="6" t="s">
        <v>7</v>
      </c>
      <c r="K1" s="5" t="s">
        <v>5</v>
      </c>
      <c r="L1" s="7" t="s">
        <v>6</v>
      </c>
      <c r="M1" s="5" t="s">
        <v>5</v>
      </c>
      <c r="N1" s="8" t="s">
        <v>8</v>
      </c>
      <c r="O1" s="5" t="s">
        <v>5</v>
      </c>
      <c r="P1" s="8" t="s">
        <v>9</v>
      </c>
      <c r="Q1" s="5" t="s">
        <v>5</v>
      </c>
    </row>
    <row r="2" spans="1:17">
      <c r="A2" s="4">
        <v>2005</v>
      </c>
      <c r="B2" s="9">
        <v>4991.7049174099666</v>
      </c>
      <c r="C2" s="9">
        <v>469.97120676464465</v>
      </c>
      <c r="D2" s="10">
        <v>3736.1765291888414</v>
      </c>
      <c r="E2" s="10">
        <v>280.33645451527832</v>
      </c>
      <c r="F2" s="10">
        <v>8727.8814465988071</v>
      </c>
      <c r="G2" s="10">
        <v>748.24441662007598</v>
      </c>
      <c r="H2" s="9">
        <v>250.9205113921598</v>
      </c>
      <c r="I2" s="9">
        <v>52.905977651921816</v>
      </c>
      <c r="J2" s="11">
        <v>888.73820249516029</v>
      </c>
      <c r="K2" s="11">
        <v>109.80571014246159</v>
      </c>
      <c r="L2" s="11">
        <v>499.35533383595566</v>
      </c>
      <c r="M2" s="11">
        <v>61.696534357745101</v>
      </c>
      <c r="N2" s="9">
        <v>389.38286865920463</v>
      </c>
      <c r="O2" s="9">
        <v>48.109175784716967</v>
      </c>
      <c r="P2" s="9">
        <v>248.43482244379584</v>
      </c>
      <c r="Q2" s="9">
        <v>34.366824287616431</v>
      </c>
    </row>
    <row r="3" spans="1:17">
      <c r="A3" s="4">
        <v>2006</v>
      </c>
      <c r="B3" s="9">
        <v>5227.7766830436403</v>
      </c>
      <c r="C3" s="9">
        <v>472.03153625984197</v>
      </c>
      <c r="D3" s="10">
        <v>3839.8546907770824</v>
      </c>
      <c r="E3" s="10">
        <v>281.56543505175216</v>
      </c>
      <c r="F3" s="10">
        <v>9067.6313738207227</v>
      </c>
      <c r="G3" s="10">
        <v>751.52468149373044</v>
      </c>
      <c r="H3" s="9">
        <v>280.28687423217201</v>
      </c>
      <c r="I3" s="9">
        <v>53.137914725213825</v>
      </c>
      <c r="J3" s="11">
        <v>695.27231087032499</v>
      </c>
      <c r="K3" s="11">
        <v>110.28709270397007</v>
      </c>
      <c r="L3" s="11">
        <v>390.65265330870949</v>
      </c>
      <c r="M3" s="11">
        <v>61.967008777579878</v>
      </c>
      <c r="N3" s="9">
        <v>304.6196575616155</v>
      </c>
      <c r="O3" s="9">
        <v>48.32008392639068</v>
      </c>
      <c r="P3" s="9">
        <v>110.36577907653748</v>
      </c>
      <c r="Q3" s="9">
        <v>34.517486670155755</v>
      </c>
    </row>
    <row r="4" spans="1:17">
      <c r="A4" s="4">
        <v>2007</v>
      </c>
      <c r="B4" s="9">
        <v>5408.8259058176272</v>
      </c>
      <c r="C4" s="9">
        <v>470.73379115440372</v>
      </c>
      <c r="D4" s="10">
        <v>3928.2388362841716</v>
      </c>
      <c r="E4" s="10">
        <v>280.79133388026213</v>
      </c>
      <c r="F4" s="10">
        <v>9337.0647421017984</v>
      </c>
      <c r="G4" s="10">
        <v>749.45853251404094</v>
      </c>
      <c r="H4" s="9">
        <v>285.06725345245093</v>
      </c>
      <c r="I4" s="9">
        <v>52.991823916760126</v>
      </c>
      <c r="J4" s="11">
        <v>703.09565038845074</v>
      </c>
      <c r="K4" s="11">
        <v>109.98388301615211</v>
      </c>
      <c r="L4" s="11">
        <v>395.0483530837588</v>
      </c>
      <c r="M4" s="11">
        <v>61.79664435028559</v>
      </c>
      <c r="N4" s="9">
        <v>308.04729730469194</v>
      </c>
      <c r="O4" s="9">
        <v>48.187238665866992</v>
      </c>
      <c r="P4" s="9">
        <v>109.98109963130787</v>
      </c>
      <c r="Q4" s="9">
        <v>34.4225885628531</v>
      </c>
    </row>
    <row r="5" spans="1:17">
      <c r="A5" s="4">
        <v>2008</v>
      </c>
      <c r="B5" s="9">
        <v>5646.1062394678638</v>
      </c>
      <c r="C5" s="9">
        <v>490.02347206771242</v>
      </c>
      <c r="D5" s="10">
        <v>4036.5664287684481</v>
      </c>
      <c r="E5" s="10">
        <v>292.29757230111085</v>
      </c>
      <c r="F5" s="10">
        <v>9682.6726682363114</v>
      </c>
      <c r="G5" s="10">
        <v>780.1697672322864</v>
      </c>
      <c r="H5" s="9">
        <v>359.09247518324133</v>
      </c>
      <c r="I5" s="9">
        <v>55.16331743087936</v>
      </c>
      <c r="J5" s="11">
        <v>846.70399025415668</v>
      </c>
      <c r="K5" s="11">
        <v>114.49079127057219</v>
      </c>
      <c r="L5" s="11">
        <v>475.73757100410302</v>
      </c>
      <c r="M5" s="11">
        <v>64.328940891196609</v>
      </c>
      <c r="N5" s="9">
        <v>370.96641925005366</v>
      </c>
      <c r="O5" s="9">
        <v>50.161850379376077</v>
      </c>
      <c r="P5" s="9">
        <v>116.64509582086168</v>
      </c>
      <c r="Q5" s="9">
        <v>35.833153859130604</v>
      </c>
    </row>
    <row r="6" spans="1:17">
      <c r="A6" s="4">
        <v>2009</v>
      </c>
      <c r="B6" s="9">
        <v>5837.8958311779415</v>
      </c>
      <c r="C6" s="9">
        <v>474.63174126168565</v>
      </c>
      <c r="D6" s="10">
        <v>4119.9534928760168</v>
      </c>
      <c r="E6" s="10">
        <v>283.1164497537971</v>
      </c>
      <c r="F6" s="10">
        <v>9957.8493240539574</v>
      </c>
      <c r="G6" s="10">
        <v>755.66448590449602</v>
      </c>
      <c r="H6" s="9">
        <v>283.86572883561314</v>
      </c>
      <c r="I6" s="9">
        <v>53.430627099371776</v>
      </c>
      <c r="J6" s="11">
        <v>710.16481803989018</v>
      </c>
      <c r="K6" s="11">
        <v>110.8946136597941</v>
      </c>
      <c r="L6" s="11">
        <v>399.0203063120731</v>
      </c>
      <c r="M6" s="11">
        <v>62.308356577028725</v>
      </c>
      <c r="N6" s="9">
        <v>311.14451172781708</v>
      </c>
      <c r="O6" s="9">
        <v>48.586257082765862</v>
      </c>
      <c r="P6" s="9">
        <v>115.15457747645996</v>
      </c>
      <c r="Q6" s="9">
        <v>34.707627655654242</v>
      </c>
    </row>
    <row r="7" spans="1:17">
      <c r="A7" s="4">
        <v>2010</v>
      </c>
      <c r="B7" s="9">
        <v>6057.3056662834897</v>
      </c>
      <c r="C7" s="9">
        <v>497.67279447690026</v>
      </c>
      <c r="D7" s="10">
        <v>4238.7351035787333</v>
      </c>
      <c r="E7" s="10">
        <v>296.86037081465867</v>
      </c>
      <c r="F7" s="10">
        <v>10296.040769862222</v>
      </c>
      <c r="G7" s="10">
        <v>792.34830647302738</v>
      </c>
      <c r="H7" s="9">
        <v>357.98537928067975</v>
      </c>
      <c r="I7" s="9">
        <v>56.024423121201998</v>
      </c>
      <c r="J7" s="11">
        <v>856.03461376316159</v>
      </c>
      <c r="K7" s="11">
        <v>116.27800560872662</v>
      </c>
      <c r="L7" s="11">
        <v>480.9801684351076</v>
      </c>
      <c r="M7" s="11">
        <v>65.333123011375449</v>
      </c>
      <c r="N7" s="9">
        <v>375.05444532805399</v>
      </c>
      <c r="O7" s="9">
        <v>50.944882597351679</v>
      </c>
      <c r="P7" s="9">
        <v>122.99478915442785</v>
      </c>
      <c r="Q7" s="9">
        <v>36.392513486639729</v>
      </c>
    </row>
    <row r="8" spans="1:17">
      <c r="A8" s="4">
        <v>2011</v>
      </c>
      <c r="B8" s="9">
        <v>6198.4557633426257</v>
      </c>
      <c r="C8" s="9">
        <v>476.38476803685353</v>
      </c>
      <c r="D8" s="10">
        <v>4321.9693075768591</v>
      </c>
      <c r="E8" s="10">
        <v>284.16212511379211</v>
      </c>
      <c r="F8" s="10">
        <v>10520.425070919486</v>
      </c>
      <c r="G8" s="10">
        <v>758.45549198704896</v>
      </c>
      <c r="H8" s="9">
        <v>209.53536592124541</v>
      </c>
      <c r="I8" s="9">
        <v>53.627970243069299</v>
      </c>
      <c r="J8" s="11">
        <v>584.66286382543842</v>
      </c>
      <c r="K8" s="11">
        <v>111.3041969431429</v>
      </c>
      <c r="L8" s="11">
        <v>328.50452329759906</v>
      </c>
      <c r="M8" s="11">
        <v>62.538489136443914</v>
      </c>
      <c r="N8" s="9">
        <v>256.15834052783936</v>
      </c>
      <c r="O8" s="9">
        <v>48.765707806699474</v>
      </c>
      <c r="P8" s="9">
        <v>118.96915737635362</v>
      </c>
      <c r="Q8" s="9">
        <v>34.835818409229176</v>
      </c>
    </row>
    <row r="9" spans="1:17">
      <c r="A9" s="4">
        <v>2012</v>
      </c>
      <c r="B9" s="9">
        <v>6275.0173422118369</v>
      </c>
      <c r="C9" s="9">
        <v>475.63418640811955</v>
      </c>
      <c r="D9" s="10">
        <v>4423.4024424479412</v>
      </c>
      <c r="E9" s="10">
        <v>283.71440536076273</v>
      </c>
      <c r="F9" s="10">
        <v>10698.419784659778</v>
      </c>
      <c r="G9" s="10">
        <v>757.26048577212771</v>
      </c>
      <c r="H9" s="9">
        <v>183.35429930934231</v>
      </c>
      <c r="I9" s="9">
        <v>53.543475162723595</v>
      </c>
      <c r="J9" s="11">
        <v>527.47952521990737</v>
      </c>
      <c r="K9" s="11">
        <v>111.12882843635627</v>
      </c>
      <c r="L9" s="11">
        <v>296.37492083530941</v>
      </c>
      <c r="M9" s="11">
        <v>62.439954833535708</v>
      </c>
      <c r="N9" s="9">
        <v>231.10460438459796</v>
      </c>
      <c r="O9" s="9">
        <v>48.688873602821047</v>
      </c>
      <c r="P9" s="9">
        <v>113.0206215259671</v>
      </c>
      <c r="Q9" s="9">
        <v>34.780931840484271</v>
      </c>
    </row>
    <row r="10" spans="1:17">
      <c r="A10" s="4">
        <v>2013</v>
      </c>
      <c r="B10" s="9">
        <v>6395.4386925954668</v>
      </c>
      <c r="C10" s="9">
        <v>486.76763318368427</v>
      </c>
      <c r="D10" s="10">
        <v>4535.348697925202</v>
      </c>
      <c r="E10" s="10">
        <v>290.3554739000092</v>
      </c>
      <c r="F10" s="10">
        <v>10930.787390520669</v>
      </c>
      <c r="G10" s="10">
        <v>774.98612357215768</v>
      </c>
      <c r="H10" s="9">
        <v>285.18439721451603</v>
      </c>
      <c r="I10" s="9">
        <v>54.796798510661937</v>
      </c>
      <c r="J10" s="11">
        <v>714.94183730613008</v>
      </c>
      <c r="K10" s="11">
        <v>113.73008573026621</v>
      </c>
      <c r="L10" s="11">
        <v>401.70437012719532</v>
      </c>
      <c r="M10" s="11">
        <v>63.901523269264885</v>
      </c>
      <c r="N10" s="9">
        <v>313.23746717893476</v>
      </c>
      <c r="O10" s="9">
        <v>49.828562461001816</v>
      </c>
      <c r="P10" s="9">
        <v>116.51997291267929</v>
      </c>
      <c r="Q10" s="9">
        <v>35.595069395177006</v>
      </c>
    </row>
    <row r="11" spans="1:17">
      <c r="A11" s="4">
        <v>2014</v>
      </c>
      <c r="B11" s="9">
        <v>6536.0807544712479</v>
      </c>
      <c r="C11" s="9">
        <v>467.65306913622277</v>
      </c>
      <c r="D11" s="10">
        <v>4619.6363212917631</v>
      </c>
      <c r="E11" s="10">
        <v>278.95369217904084</v>
      </c>
      <c r="F11" s="10">
        <v>11155.717075763012</v>
      </c>
      <c r="G11" s="10">
        <v>744.55369363012016</v>
      </c>
      <c r="H11" s="9">
        <v>260.92993290550936</v>
      </c>
      <c r="I11" s="9">
        <v>52.64501839357137</v>
      </c>
      <c r="J11" s="11">
        <v>665.59689534836866</v>
      </c>
      <c r="K11" s="11">
        <v>109.26409239049515</v>
      </c>
      <c r="L11" s="11">
        <v>373.97892758938787</v>
      </c>
      <c r="M11" s="11">
        <v>61.392215591447716</v>
      </c>
      <c r="N11" s="9">
        <v>291.6179677589808</v>
      </c>
      <c r="O11" s="9">
        <v>47.871876799047911</v>
      </c>
      <c r="P11" s="9">
        <v>113.0489946838785</v>
      </c>
      <c r="Q11" s="9">
        <v>34.197309586707576</v>
      </c>
    </row>
    <row r="12" spans="1:17">
      <c r="A12" s="4">
        <v>2015</v>
      </c>
      <c r="B12" s="9">
        <v>6652.9227971566015</v>
      </c>
      <c r="C12" s="9">
        <v>480.84829461116914</v>
      </c>
      <c r="D12" s="10">
        <v>4736.847416000478</v>
      </c>
      <c r="E12" s="10">
        <v>286.82460570083157</v>
      </c>
      <c r="F12" s="10">
        <v>11389.77021315708</v>
      </c>
      <c r="G12" s="10">
        <v>765.56190359183381</v>
      </c>
      <c r="H12" s="9">
        <v>166.12631338519563</v>
      </c>
      <c r="I12" s="9">
        <v>54.130441955783731</v>
      </c>
      <c r="J12" s="11">
        <v>499.24855571414588</v>
      </c>
      <c r="K12" s="11">
        <v>112.34707084302826</v>
      </c>
      <c r="L12" s="11">
        <v>280.51278599910717</v>
      </c>
      <c r="M12" s="11">
        <v>63.1244486945725</v>
      </c>
      <c r="N12" s="9">
        <v>218.73576971503871</v>
      </c>
      <c r="O12" s="9">
        <v>49.222622148456253</v>
      </c>
      <c r="P12" s="9">
        <v>114.38647261391156</v>
      </c>
      <c r="Q12" s="9">
        <v>35.162215497550015</v>
      </c>
    </row>
    <row r="14" spans="1:17">
      <c r="A14" s="12"/>
      <c r="B14" s="12"/>
      <c r="C14" s="12"/>
      <c r="D14" s="12"/>
      <c r="E14" s="12"/>
      <c r="F14" s="12"/>
      <c r="G14" s="12"/>
      <c r="H14" s="12"/>
    </row>
    <row r="15" spans="1:17">
      <c r="A15" s="12"/>
      <c r="B15" s="12"/>
      <c r="C15" s="12"/>
      <c r="D15" s="12"/>
      <c r="E15" s="12"/>
      <c r="F15" s="12"/>
      <c r="G15" s="12"/>
      <c r="H15" s="12"/>
    </row>
    <row r="16" spans="1:17">
      <c r="A16" s="12"/>
      <c r="B16" s="12"/>
      <c r="C16" s="12"/>
      <c r="D16" s="12"/>
      <c r="E16" s="12"/>
      <c r="F16" s="12"/>
      <c r="G16" s="12"/>
      <c r="H16" s="12"/>
      <c r="I16" s="14"/>
    </row>
    <row r="17" spans="1:8">
      <c r="A17" s="12"/>
    </row>
    <row r="18" spans="1:8" ht="20.25">
      <c r="A18" s="12"/>
      <c r="B18" s="13"/>
      <c r="C18" s="13"/>
      <c r="D18" s="13"/>
      <c r="E18" s="13"/>
      <c r="F18" s="13"/>
      <c r="G18" s="13"/>
      <c r="H18" s="1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"/>
  <sheetViews>
    <sheetView workbookViewId="0"/>
  </sheetViews>
  <sheetFormatPr defaultColWidth="8.75" defaultRowHeight="14.25"/>
  <cols>
    <col min="1" max="17" width="10.625" style="4" customWidth="1"/>
  </cols>
  <sheetData>
    <row r="1" spans="1:17">
      <c r="A1" s="4" t="s">
        <v>0</v>
      </c>
      <c r="B1" s="4" t="s">
        <v>1</v>
      </c>
      <c r="C1" s="4" t="s">
        <v>5</v>
      </c>
      <c r="D1" s="4" t="s">
        <v>2</v>
      </c>
      <c r="E1" s="4" t="s">
        <v>5</v>
      </c>
      <c r="F1" s="4" t="s">
        <v>4</v>
      </c>
      <c r="G1" s="4" t="s">
        <v>5</v>
      </c>
      <c r="H1" s="4" t="s">
        <v>3</v>
      </c>
      <c r="I1" s="5" t="s">
        <v>5</v>
      </c>
      <c r="J1" s="6" t="s">
        <v>7</v>
      </c>
      <c r="K1" s="5" t="s">
        <v>5</v>
      </c>
      <c r="L1" s="7" t="s">
        <v>6</v>
      </c>
      <c r="M1" s="5" t="s">
        <v>5</v>
      </c>
      <c r="N1" s="8" t="s">
        <v>8</v>
      </c>
      <c r="O1" s="5" t="s">
        <v>5</v>
      </c>
      <c r="P1" s="8" t="s">
        <v>9</v>
      </c>
      <c r="Q1" s="5" t="s">
        <v>5</v>
      </c>
    </row>
    <row r="2" spans="1:17">
      <c r="A2" s="4">
        <v>2005</v>
      </c>
      <c r="B2" s="9">
        <v>14867.732153895358</v>
      </c>
      <c r="C2" s="9">
        <v>675.84341846347559</v>
      </c>
      <c r="D2" s="10">
        <v>9635.56669729649</v>
      </c>
      <c r="E2" s="10">
        <v>159.89926701822463</v>
      </c>
      <c r="F2" s="10">
        <v>24503.298851191848</v>
      </c>
      <c r="G2" s="10">
        <v>835.15194111934284</v>
      </c>
      <c r="H2" s="9">
        <v>296.18465682410169</v>
      </c>
      <c r="I2" s="9">
        <v>64.252653816928586</v>
      </c>
      <c r="J2" s="11">
        <v>2944.3603193705139</v>
      </c>
      <c r="K2" s="11">
        <v>226.91310408325882</v>
      </c>
      <c r="L2" s="11">
        <v>972.63998790085554</v>
      </c>
      <c r="M2" s="11">
        <v>74.958474802863719</v>
      </c>
      <c r="N2" s="9">
        <v>1971.7203314696585</v>
      </c>
      <c r="O2" s="9">
        <v>151.9546292803951</v>
      </c>
      <c r="P2" s="9">
        <v>676.45533107675374</v>
      </c>
      <c r="Q2" s="9">
        <v>20.366421537424571</v>
      </c>
    </row>
    <row r="3" spans="1:17">
      <c r="A3" s="4">
        <v>2006</v>
      </c>
      <c r="B3" s="9">
        <v>15290.931170455726</v>
      </c>
      <c r="C3" s="9">
        <v>687.15395562369929</v>
      </c>
      <c r="D3" s="10">
        <v>9685.4467160295808</v>
      </c>
      <c r="E3" s="10">
        <v>162.57525165030685</v>
      </c>
      <c r="F3" s="10">
        <v>24976.377886485308</v>
      </c>
      <c r="G3" s="10">
        <v>849.12857654465893</v>
      </c>
      <c r="H3" s="9">
        <v>353.01188964247274</v>
      </c>
      <c r="I3" s="9">
        <v>65.327950266942977</v>
      </c>
      <c r="J3" s="11">
        <v>2975.408318046359</v>
      </c>
      <c r="K3" s="11">
        <v>230.71059478267313</v>
      </c>
      <c r="L3" s="11">
        <v>982.89638378343409</v>
      </c>
      <c r="M3" s="11">
        <v>76.212937880508235</v>
      </c>
      <c r="N3" s="9">
        <v>1992.511934262925</v>
      </c>
      <c r="O3" s="9">
        <v>154.49765690216489</v>
      </c>
      <c r="P3" s="9">
        <v>629.88449414096112</v>
      </c>
      <c r="Q3" s="9">
        <v>20.707262568537267</v>
      </c>
    </row>
    <row r="4" spans="1:17">
      <c r="A4" s="4">
        <v>2007</v>
      </c>
      <c r="B4" s="9">
        <v>15519.876639054561</v>
      </c>
      <c r="C4" s="9">
        <v>677.91756744518102</v>
      </c>
      <c r="D4" s="10">
        <v>9725.0170511104934</v>
      </c>
      <c r="E4" s="10">
        <v>160.38999444531908</v>
      </c>
      <c r="F4" s="10">
        <v>25244.893690165052</v>
      </c>
      <c r="G4" s="10">
        <v>837.71500454634224</v>
      </c>
      <c r="H4" s="9">
        <v>231.71938298702702</v>
      </c>
      <c r="I4" s="9">
        <v>64.449843835867057</v>
      </c>
      <c r="J4" s="11">
        <v>2560.6408799181149</v>
      </c>
      <c r="K4" s="11">
        <v>227.60949554156426</v>
      </c>
      <c r="L4" s="11">
        <v>845.88210827214994</v>
      </c>
      <c r="M4" s="11">
        <v>75.188520757200337</v>
      </c>
      <c r="N4" s="9">
        <v>1714.758771645965</v>
      </c>
      <c r="O4" s="9">
        <v>152.42097478436392</v>
      </c>
      <c r="P4" s="9">
        <v>614.16272528512286</v>
      </c>
      <c r="Q4" s="9">
        <v>20.428925649085333</v>
      </c>
    </row>
    <row r="5" spans="1:17">
      <c r="A5" s="4">
        <v>2008</v>
      </c>
      <c r="B5" s="9">
        <v>15776.065518741234</v>
      </c>
      <c r="C5" s="9">
        <v>689.26935508984457</v>
      </c>
      <c r="D5" s="10">
        <v>9797.9127680822476</v>
      </c>
      <c r="E5" s="10">
        <v>163.07573861939858</v>
      </c>
      <c r="F5" s="10">
        <v>25573.978286823483</v>
      </c>
      <c r="G5" s="10">
        <v>851.74261394167991</v>
      </c>
      <c r="H5" s="9">
        <v>293.0604225096036</v>
      </c>
      <c r="I5" s="9">
        <v>65.529061982866409</v>
      </c>
      <c r="J5" s="11">
        <v>2781.4073757797182</v>
      </c>
      <c r="K5" s="11">
        <v>231.42083601033852</v>
      </c>
      <c r="L5" s="11">
        <v>918.81011251507209</v>
      </c>
      <c r="M5" s="11">
        <v>76.447558967655226</v>
      </c>
      <c r="N5" s="9">
        <v>1862.5972632646462</v>
      </c>
      <c r="O5" s="9">
        <v>154.97327704268329</v>
      </c>
      <c r="P5" s="9">
        <v>625.74969000546844</v>
      </c>
      <c r="Q5" s="9">
        <v>20.771009756229805</v>
      </c>
    </row>
    <row r="6" spans="1:17">
      <c r="A6" s="4">
        <v>2009</v>
      </c>
      <c r="B6" s="9">
        <v>16002.41585899999</v>
      </c>
      <c r="C6" s="9">
        <v>695.11472456568163</v>
      </c>
      <c r="D6" s="10">
        <v>9857.5837584770979</v>
      </c>
      <c r="E6" s="10">
        <v>164.45870732058384</v>
      </c>
      <c r="F6" s="10">
        <v>25859.999617477086</v>
      </c>
      <c r="G6" s="10">
        <v>858.96584277093109</v>
      </c>
      <c r="H6" s="9">
        <v>171.98128597846627</v>
      </c>
      <c r="I6" s="9">
        <v>66.084783161918324</v>
      </c>
      <c r="J6" s="11">
        <v>2467.9672684348989</v>
      </c>
      <c r="K6" s="11">
        <v>233.38340736346535</v>
      </c>
      <c r="L6" s="11">
        <v>815.26830745478446</v>
      </c>
      <c r="M6" s="11">
        <v>77.095874788447148</v>
      </c>
      <c r="N6" s="9">
        <v>1652.6989609801144</v>
      </c>
      <c r="O6" s="9">
        <v>156.28753257501819</v>
      </c>
      <c r="P6" s="9">
        <v>643.28702147631839</v>
      </c>
      <c r="Q6" s="9">
        <v>20.947158928559617</v>
      </c>
    </row>
    <row r="7" spans="1:17">
      <c r="A7" s="4">
        <v>2010</v>
      </c>
      <c r="B7" s="9">
        <v>16062.256871768601</v>
      </c>
      <c r="C7" s="9">
        <v>679.69878234214764</v>
      </c>
      <c r="D7" s="10">
        <v>9870.6563346171915</v>
      </c>
      <c r="E7" s="10">
        <v>160.81141595900999</v>
      </c>
      <c r="F7" s="10">
        <v>25932.913206385791</v>
      </c>
      <c r="G7" s="10">
        <v>839.91608402438828</v>
      </c>
      <c r="H7" s="9">
        <v>134.09123348575798</v>
      </c>
      <c r="I7" s="9">
        <v>64.619184516003529</v>
      </c>
      <c r="J7" s="11">
        <v>2297.3255810768392</v>
      </c>
      <c r="K7" s="11">
        <v>228.20753495464155</v>
      </c>
      <c r="L7" s="11">
        <v>758.89853245292295</v>
      </c>
      <c r="M7" s="11">
        <v>75.386077096916296</v>
      </c>
      <c r="N7" s="9">
        <v>1538.4270486239161</v>
      </c>
      <c r="O7" s="9">
        <v>152.82145785772525</v>
      </c>
      <c r="P7" s="9">
        <v>624.80729896716502</v>
      </c>
      <c r="Q7" s="9">
        <v>20.482602244061784</v>
      </c>
    </row>
    <row r="8" spans="1:17">
      <c r="A8" s="4">
        <v>2011</v>
      </c>
      <c r="B8" s="9">
        <v>16344.297102492168</v>
      </c>
      <c r="C8" s="9">
        <v>701.68735932253048</v>
      </c>
      <c r="D8" s="10">
        <v>9946.9634578466685</v>
      </c>
      <c r="E8" s="10">
        <v>166.01374129929448</v>
      </c>
      <c r="F8" s="10">
        <v>26291.260560338837</v>
      </c>
      <c r="G8" s="10">
        <v>867.08776646729609</v>
      </c>
      <c r="H8" s="9">
        <v>302.80194540664684</v>
      </c>
      <c r="I8" s="9">
        <v>66.709645688000236</v>
      </c>
      <c r="J8" s="11">
        <v>2804.0484887818561</v>
      </c>
      <c r="K8" s="11">
        <v>235.5901566103143</v>
      </c>
      <c r="L8" s="11">
        <v>926.28937778419822</v>
      </c>
      <c r="M8" s="11">
        <v>77.824852334651226</v>
      </c>
      <c r="N8" s="9">
        <v>1877.7591109976579</v>
      </c>
      <c r="O8" s="9">
        <v>157.76530427566308</v>
      </c>
      <c r="P8" s="9">
        <v>623.48743237755161</v>
      </c>
      <c r="Q8" s="9">
        <v>21.145224111133778</v>
      </c>
    </row>
    <row r="9" spans="1:17">
      <c r="A9" s="4">
        <v>2012</v>
      </c>
      <c r="B9" s="9">
        <v>16530.330329373759</v>
      </c>
      <c r="C9" s="9">
        <v>687.78134833765807</v>
      </c>
      <c r="D9" s="10">
        <v>9981.3279332530274</v>
      </c>
      <c r="E9" s="10">
        <v>162.72368785957357</v>
      </c>
      <c r="F9" s="10">
        <v>26511.658262626785</v>
      </c>
      <c r="G9" s="10">
        <v>849.90385707353937</v>
      </c>
      <c r="H9" s="9">
        <v>206.65352458750297</v>
      </c>
      <c r="I9" s="9">
        <v>65.387596696509306</v>
      </c>
      <c r="J9" s="11">
        <v>2565.9181329217909</v>
      </c>
      <c r="K9" s="11">
        <v>230.92124065761152</v>
      </c>
      <c r="L9" s="11">
        <v>847.62539602938432</v>
      </c>
      <c r="M9" s="11">
        <v>76.282522638835388</v>
      </c>
      <c r="N9" s="9">
        <v>1718.2927368924065</v>
      </c>
      <c r="O9" s="9">
        <v>154.63871801877613</v>
      </c>
      <c r="P9" s="9">
        <v>640.97187144188138</v>
      </c>
      <c r="Q9" s="9">
        <v>20.726168936688403</v>
      </c>
    </row>
    <row r="10" spans="1:17">
      <c r="A10" s="4">
        <v>2013</v>
      </c>
      <c r="B10" s="9">
        <v>16796.329330412627</v>
      </c>
      <c r="C10" s="9">
        <v>707.46334977115566</v>
      </c>
      <c r="D10" s="10">
        <v>10059.216341603125</v>
      </c>
      <c r="E10" s="10">
        <v>167.38029546525672</v>
      </c>
      <c r="F10" s="10">
        <v>26855.545672015753</v>
      </c>
      <c r="G10" s="10">
        <v>874.2252623772556</v>
      </c>
      <c r="H10" s="9">
        <v>271.70800222353506</v>
      </c>
      <c r="I10" s="9">
        <v>67.258770980348487</v>
      </c>
      <c r="J10" s="11">
        <v>2767.2454561768773</v>
      </c>
      <c r="K10" s="11">
        <v>237.52943409093629</v>
      </c>
      <c r="L10" s="11">
        <v>914.13186399346955</v>
      </c>
      <c r="M10" s="11">
        <v>78.465473257599896</v>
      </c>
      <c r="N10" s="9">
        <v>1853.1135921834077</v>
      </c>
      <c r="O10" s="9">
        <v>159.06396083333638</v>
      </c>
      <c r="P10" s="9">
        <v>642.42386176993455</v>
      </c>
      <c r="Q10" s="9">
        <v>21.319282558784689</v>
      </c>
    </row>
    <row r="11" spans="1:17">
      <c r="A11" s="4">
        <v>2014</v>
      </c>
      <c r="B11" s="9">
        <v>16988.242770088287</v>
      </c>
      <c r="C11" s="9">
        <v>701.32811944981779</v>
      </c>
      <c r="D11" s="10">
        <v>10112.809406570934</v>
      </c>
      <c r="E11" s="10">
        <v>165.9287479550357</v>
      </c>
      <c r="F11" s="10">
        <v>27101.052176659221</v>
      </c>
      <c r="G11" s="10">
        <v>866.64384725638547</v>
      </c>
      <c r="H11" s="9">
        <v>312.25520522916588</v>
      </c>
      <c r="I11" s="9">
        <v>66.675492636349418</v>
      </c>
      <c r="J11" s="11">
        <v>2937.1148718700633</v>
      </c>
      <c r="K11" s="11">
        <v>235.46954252663642</v>
      </c>
      <c r="L11" s="11">
        <v>970.24652677355664</v>
      </c>
      <c r="M11" s="11">
        <v>77.785008678249071</v>
      </c>
      <c r="N11" s="9">
        <v>1966.8683450965068</v>
      </c>
      <c r="O11" s="9">
        <v>157.68453384838733</v>
      </c>
      <c r="P11" s="9">
        <v>657.99132154439076</v>
      </c>
      <c r="Q11" s="9">
        <v>21.134398481289882</v>
      </c>
    </row>
    <row r="12" spans="1:17">
      <c r="A12" s="4">
        <v>2015</v>
      </c>
      <c r="B12" s="9">
        <v>17369.873843364396</v>
      </c>
      <c r="C12" s="9">
        <v>708.49904482013869</v>
      </c>
      <c r="D12" s="10">
        <v>10186.797184716215</v>
      </c>
      <c r="E12" s="10">
        <v>167.62533281364622</v>
      </c>
      <c r="F12" s="10">
        <v>27556.671028080611</v>
      </c>
      <c r="G12" s="10">
        <v>875.50508948947686</v>
      </c>
      <c r="H12" s="9">
        <v>356.50260679067395</v>
      </c>
      <c r="I12" s="9">
        <v>67.357234845830092</v>
      </c>
      <c r="J12" s="11">
        <v>3156.064487633761</v>
      </c>
      <c r="K12" s="11">
        <v>237.87716667518293</v>
      </c>
      <c r="L12" s="11">
        <v>1042.5743428449366</v>
      </c>
      <c r="M12" s="11">
        <v>78.58034323947993</v>
      </c>
      <c r="N12" s="9">
        <v>2113.4901447888242</v>
      </c>
      <c r="O12" s="9">
        <v>159.296823435703</v>
      </c>
      <c r="P12" s="9">
        <v>686.07173605426306</v>
      </c>
      <c r="Q12" s="9">
        <v>21.350493045379007</v>
      </c>
    </row>
    <row r="14" spans="1:17">
      <c r="B14" s="12"/>
      <c r="C14" s="12"/>
      <c r="D14" s="12"/>
      <c r="E14" s="12"/>
      <c r="F14" s="12"/>
      <c r="G14" s="12"/>
    </row>
    <row r="15" spans="1:17">
      <c r="B15" s="12"/>
      <c r="C15" s="12"/>
      <c r="D15" s="12"/>
      <c r="E15" s="12"/>
      <c r="F15" s="12"/>
      <c r="G15" s="12"/>
    </row>
    <row r="16" spans="1:17">
      <c r="B16" s="12"/>
      <c r="C16" s="12"/>
      <c r="D16" s="12"/>
      <c r="E16" s="12"/>
      <c r="F16" s="12"/>
      <c r="G16" s="12"/>
    </row>
    <row r="17" spans="1:1">
      <c r="A17" s="12"/>
    </row>
    <row r="18" spans="1:1">
      <c r="A18" s="1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8"/>
  <sheetViews>
    <sheetView workbookViewId="0"/>
  </sheetViews>
  <sheetFormatPr defaultColWidth="8.75" defaultRowHeight="14.25"/>
  <cols>
    <col min="1" max="17" width="10.625" style="4" customWidth="1"/>
  </cols>
  <sheetData>
    <row r="1" spans="1:18">
      <c r="A1" s="4" t="s">
        <v>0</v>
      </c>
      <c r="B1" s="4" t="s">
        <v>1</v>
      </c>
      <c r="C1" s="4" t="s">
        <v>5</v>
      </c>
      <c r="D1" s="4" t="s">
        <v>2</v>
      </c>
      <c r="E1" s="4" t="s">
        <v>5</v>
      </c>
      <c r="F1" s="4" t="s">
        <v>4</v>
      </c>
      <c r="G1" s="4" t="s">
        <v>5</v>
      </c>
      <c r="H1" s="4" t="s">
        <v>3</v>
      </c>
      <c r="I1" s="5" t="s">
        <v>5</v>
      </c>
      <c r="J1" s="6" t="s">
        <v>7</v>
      </c>
      <c r="K1" s="5" t="s">
        <v>5</v>
      </c>
      <c r="L1" s="7" t="s">
        <v>6</v>
      </c>
      <c r="M1" s="5" t="s">
        <v>5</v>
      </c>
      <c r="N1" s="8" t="s">
        <v>8</v>
      </c>
      <c r="O1" s="5" t="s">
        <v>5</v>
      </c>
      <c r="P1" s="8" t="s">
        <v>9</v>
      </c>
      <c r="Q1" s="5" t="s">
        <v>5</v>
      </c>
    </row>
    <row r="2" spans="1:18">
      <c r="A2" s="4">
        <v>2005</v>
      </c>
      <c r="B2" s="9">
        <v>3340.9345833589391</v>
      </c>
      <c r="C2" s="9">
        <v>558.18149025880291</v>
      </c>
      <c r="D2" s="10">
        <v>7814.9511785174627</v>
      </c>
      <c r="E2" s="10">
        <v>690.32569911741132</v>
      </c>
      <c r="F2" s="10">
        <v>11155.885761876401</v>
      </c>
      <c r="G2" s="10">
        <v>1238.3756502262559</v>
      </c>
      <c r="H2" s="9">
        <v>331.78860790924176</v>
      </c>
      <c r="I2" s="9">
        <v>33.170584219831952</v>
      </c>
      <c r="J2" s="11">
        <v>996.40851540038034</v>
      </c>
      <c r="K2" s="11">
        <v>81.052210515858548</v>
      </c>
      <c r="L2" s="11">
        <v>474.49965988355649</v>
      </c>
      <c r="M2" s="11">
        <v>38.597824047988546</v>
      </c>
      <c r="N2" s="9">
        <v>521.90885551682391</v>
      </c>
      <c r="O2" s="9">
        <v>42.454386467954528</v>
      </c>
      <c r="P2" s="9">
        <v>142.71105197431461</v>
      </c>
      <c r="Q2" s="9">
        <v>7.0322291773091674</v>
      </c>
      <c r="R2" s="3"/>
    </row>
    <row r="3" spans="1:18">
      <c r="A3" s="4">
        <v>2006</v>
      </c>
      <c r="B3" s="9">
        <v>3736.0739319097797</v>
      </c>
      <c r="C3" s="9">
        <v>557.8596876912161</v>
      </c>
      <c r="D3" s="10">
        <v>7998.0294023836896</v>
      </c>
      <c r="E3" s="10">
        <v>689.92771282384194</v>
      </c>
      <c r="F3" s="10">
        <v>11734.10333429347</v>
      </c>
      <c r="G3" s="10">
        <v>1237.6617023959632</v>
      </c>
      <c r="H3" s="9">
        <v>331.03824058634734</v>
      </c>
      <c r="I3" s="9">
        <v>33.151460727998952</v>
      </c>
      <c r="J3" s="11">
        <v>998.93407589697836</v>
      </c>
      <c r="K3" s="11">
        <v>81.005482328149398</v>
      </c>
      <c r="L3" s="11">
        <v>475.70237390146292</v>
      </c>
      <c r="M3" s="11">
        <v>38.575571646039229</v>
      </c>
      <c r="N3" s="9">
        <v>523.23170199551544</v>
      </c>
      <c r="O3" s="9">
        <v>42.429910682194638</v>
      </c>
      <c r="P3" s="9">
        <v>144.66413331511558</v>
      </c>
      <c r="Q3" s="9">
        <v>7.0281749593807525</v>
      </c>
      <c r="R3" s="3"/>
    </row>
    <row r="4" spans="1:18">
      <c r="A4" s="4">
        <v>2007</v>
      </c>
      <c r="B4" s="9">
        <v>3982.5611521975916</v>
      </c>
      <c r="C4" s="9">
        <v>555.67458392127537</v>
      </c>
      <c r="D4" s="10">
        <v>8191.1360656019669</v>
      </c>
      <c r="E4" s="10">
        <v>687.2253063235313</v>
      </c>
      <c r="F4" s="10">
        <v>12173.697217799559</v>
      </c>
      <c r="G4" s="10">
        <v>1232.813853893037</v>
      </c>
      <c r="H4" s="9">
        <v>313.80666136128002</v>
      </c>
      <c r="I4" s="9">
        <v>33.021608395209697</v>
      </c>
      <c r="J4" s="11">
        <v>965.6088147604861</v>
      </c>
      <c r="K4" s="11">
        <v>80.688188591522419</v>
      </c>
      <c r="L4" s="11">
        <v>459.83265475270173</v>
      </c>
      <c r="M4" s="11">
        <v>38.42447338801626</v>
      </c>
      <c r="N4" s="9">
        <v>505.77616000778437</v>
      </c>
      <c r="O4" s="9">
        <v>42.263715203590294</v>
      </c>
      <c r="P4" s="9">
        <v>146.02599339142171</v>
      </c>
      <c r="Q4" s="9">
        <v>7.0006460091117262</v>
      </c>
      <c r="R4" s="3"/>
    </row>
    <row r="5" spans="1:18">
      <c r="A5" s="4">
        <v>2008</v>
      </c>
      <c r="B5" s="9">
        <v>4176.2727359575383</v>
      </c>
      <c r="C5" s="9">
        <v>547.6431948414214</v>
      </c>
      <c r="D5" s="10">
        <v>8386.4551166319707</v>
      </c>
      <c r="E5" s="10">
        <v>677.29256154752034</v>
      </c>
      <c r="F5" s="10">
        <v>12562.727852589509</v>
      </c>
      <c r="G5" s="10">
        <v>1214.995497592163</v>
      </c>
      <c r="H5" s="9">
        <v>371.52623202644583</v>
      </c>
      <c r="I5" s="9">
        <v>32.544333758689561</v>
      </c>
      <c r="J5" s="11">
        <v>1109.5880535319411</v>
      </c>
      <c r="K5" s="11">
        <v>79.52196962906045</v>
      </c>
      <c r="L5" s="11">
        <v>528.39671622276092</v>
      </c>
      <c r="M5" s="11">
        <v>37.869108962690348</v>
      </c>
      <c r="N5" s="9">
        <v>581.1913373091802</v>
      </c>
      <c r="O5" s="9">
        <v>41.65286066645303</v>
      </c>
      <c r="P5" s="9">
        <v>156.87048419631515</v>
      </c>
      <c r="Q5" s="9">
        <v>6.8994628462743401</v>
      </c>
      <c r="R5" s="3"/>
    </row>
    <row r="6" spans="1:18">
      <c r="A6" s="4">
        <v>2009</v>
      </c>
      <c r="B6" s="9">
        <v>4394.9274977561836</v>
      </c>
      <c r="C6" s="9">
        <v>549.32371783649705</v>
      </c>
      <c r="D6" s="10">
        <v>8609.0042710773032</v>
      </c>
      <c r="E6" s="10">
        <v>679.37093252847239</v>
      </c>
      <c r="F6" s="10">
        <v>13003.931768833487</v>
      </c>
      <c r="G6" s="10">
        <v>1218.7238884346866</v>
      </c>
      <c r="H6" s="9">
        <v>293.74057772418678</v>
      </c>
      <c r="I6" s="9">
        <v>32.644200792108528</v>
      </c>
      <c r="J6" s="11">
        <v>893.37196081469324</v>
      </c>
      <c r="K6" s="11">
        <v>79.765994387943906</v>
      </c>
      <c r="L6" s="11">
        <v>425.43276851742797</v>
      </c>
      <c r="M6" s="11">
        <v>37.985315845226808</v>
      </c>
      <c r="N6" s="9">
        <v>467.93919229726527</v>
      </c>
      <c r="O6" s="9">
        <v>41.780678542800281</v>
      </c>
      <c r="P6" s="9">
        <v>131.6921907932412</v>
      </c>
      <c r="Q6" s="9">
        <v>6.9206348540269271</v>
      </c>
      <c r="R6" s="3"/>
    </row>
    <row r="7" spans="1:18">
      <c r="A7" s="4">
        <v>2010</v>
      </c>
      <c r="B7" s="9">
        <v>4644.2830960782876</v>
      </c>
      <c r="C7" s="9">
        <v>564.5031075398515</v>
      </c>
      <c r="D7" s="10">
        <v>8860.4942585117969</v>
      </c>
      <c r="E7" s="10">
        <v>698.14389973002778</v>
      </c>
      <c r="F7" s="10">
        <v>13504.777354590085</v>
      </c>
      <c r="G7" s="10">
        <v>1252.4007245927855</v>
      </c>
      <c r="H7" s="9">
        <v>284.4339670730148</v>
      </c>
      <c r="I7" s="9">
        <v>33.546253678755328</v>
      </c>
      <c r="J7" s="11">
        <v>886.07205606164939</v>
      </c>
      <c r="K7" s="11">
        <v>81.970157570008766</v>
      </c>
      <c r="L7" s="11">
        <v>421.95638209732635</v>
      </c>
      <c r="M7" s="11">
        <v>39.034959058322734</v>
      </c>
      <c r="N7" s="9">
        <v>464.11567396432304</v>
      </c>
      <c r="O7" s="9">
        <v>42.935198511771503</v>
      </c>
      <c r="P7" s="9">
        <v>137.5224150243115</v>
      </c>
      <c r="Q7" s="9">
        <v>7.1118718424053542</v>
      </c>
      <c r="R7" s="3"/>
    </row>
    <row r="8" spans="1:18">
      <c r="A8" s="4">
        <v>2011</v>
      </c>
      <c r="B8" s="9">
        <v>4729.9378909087927</v>
      </c>
      <c r="C8" s="9">
        <v>556.12260464583574</v>
      </c>
      <c r="D8" s="10">
        <v>9080.4295308085511</v>
      </c>
      <c r="E8" s="10">
        <v>687.77939173356128</v>
      </c>
      <c r="F8" s="10">
        <v>13810.367421717343</v>
      </c>
      <c r="G8" s="10">
        <v>1233.8078280139543</v>
      </c>
      <c r="H8" s="9">
        <v>343.21383594076684</v>
      </c>
      <c r="I8" s="9">
        <v>33.048232547811686</v>
      </c>
      <c r="J8" s="11">
        <v>1011.5686345189712</v>
      </c>
      <c r="K8" s="11">
        <v>80.753244618489006</v>
      </c>
      <c r="L8" s="11">
        <v>481.71903106058022</v>
      </c>
      <c r="M8" s="11">
        <v>38.455453679190754</v>
      </c>
      <c r="N8" s="9">
        <v>529.8496034583909</v>
      </c>
      <c r="O8" s="9">
        <v>42.297790939382459</v>
      </c>
      <c r="P8" s="9">
        <v>138.50519511981338</v>
      </c>
      <c r="Q8" s="9">
        <v>7.0062903818941908</v>
      </c>
      <c r="R8" s="3"/>
    </row>
    <row r="9" spans="1:18">
      <c r="A9" s="4">
        <v>2012</v>
      </c>
      <c r="B9" s="9">
        <v>4977.5331851331803</v>
      </c>
      <c r="C9" s="9">
        <v>566.20447187137142</v>
      </c>
      <c r="D9" s="10">
        <v>9341.343359088467</v>
      </c>
      <c r="E9" s="10">
        <v>700.24804603746873</v>
      </c>
      <c r="F9" s="10">
        <v>14318.876544221646</v>
      </c>
      <c r="G9" s="10">
        <v>1256.1753538076327</v>
      </c>
      <c r="H9" s="9">
        <v>322.45791257584722</v>
      </c>
      <c r="I9" s="9">
        <v>33.647359232830823</v>
      </c>
      <c r="J9" s="11">
        <v>956.6721027862319</v>
      </c>
      <c r="K9" s="11">
        <v>82.217208649933653</v>
      </c>
      <c r="L9" s="11">
        <v>455.57686064878573</v>
      </c>
      <c r="M9" s="11">
        <v>39.152607103368233</v>
      </c>
      <c r="N9" s="9">
        <v>501.09524213744618</v>
      </c>
      <c r="O9" s="9">
        <v>43.064601546651161</v>
      </c>
      <c r="P9" s="9">
        <v>133.11894807293851</v>
      </c>
      <c r="Q9" s="9">
        <v>7.1333064189761393</v>
      </c>
      <c r="R9" s="3"/>
    </row>
    <row r="10" spans="1:18">
      <c r="A10" s="4">
        <v>2013</v>
      </c>
      <c r="B10" s="9">
        <v>5085.2949298377298</v>
      </c>
      <c r="C10" s="9">
        <v>568.63446516567842</v>
      </c>
      <c r="D10" s="10">
        <v>9596.8939759281766</v>
      </c>
      <c r="E10" s="10">
        <v>703.2533173497892</v>
      </c>
      <c r="F10" s="10">
        <v>14682.188905765906</v>
      </c>
      <c r="G10" s="10">
        <v>1261.5665116629166</v>
      </c>
      <c r="H10" s="9">
        <v>261.09708278208564</v>
      </c>
      <c r="I10" s="9">
        <v>33.791764410410366</v>
      </c>
      <c r="J10" s="11">
        <v>831.85752548219716</v>
      </c>
      <c r="K10" s="11">
        <v>82.570062213657124</v>
      </c>
      <c r="L10" s="11">
        <v>396.13886975188245</v>
      </c>
      <c r="M10" s="11">
        <v>39.320639285101748</v>
      </c>
      <c r="N10" s="9">
        <v>435.71865573031471</v>
      </c>
      <c r="O10" s="9">
        <v>43.249422928641472</v>
      </c>
      <c r="P10" s="9">
        <v>135.04178696979682</v>
      </c>
      <c r="Q10" s="9">
        <v>7.1639206009995666</v>
      </c>
      <c r="R10" s="3"/>
    </row>
    <row r="11" spans="1:18">
      <c r="A11" s="4">
        <v>2014</v>
      </c>
      <c r="B11" s="9">
        <v>5107.3181225818016</v>
      </c>
      <c r="C11" s="9">
        <v>557.01337730438161</v>
      </c>
      <c r="D11" s="10">
        <v>9830.7011191798138</v>
      </c>
      <c r="E11" s="10">
        <v>688.88104642651831</v>
      </c>
      <c r="F11" s="10">
        <v>14938.019241761616</v>
      </c>
      <c r="G11" s="10">
        <v>1235.7840869718052</v>
      </c>
      <c r="H11" s="9">
        <v>342.36965647547805</v>
      </c>
      <c r="I11" s="9">
        <v>33.101167749008205</v>
      </c>
      <c r="J11" s="11">
        <v>1033.139455723272</v>
      </c>
      <c r="K11" s="11">
        <v>80.882591603837369</v>
      </c>
      <c r="L11" s="11">
        <v>491.99128126849308</v>
      </c>
      <c r="M11" s="11">
        <v>38.517049928692636</v>
      </c>
      <c r="N11" s="9">
        <v>541.14817445477888</v>
      </c>
      <c r="O11" s="9">
        <v>42.365541675229075</v>
      </c>
      <c r="P11" s="9">
        <v>149.62162479301514</v>
      </c>
      <c r="Q11" s="9">
        <v>7.0175127487929414</v>
      </c>
      <c r="R11" s="3"/>
    </row>
    <row r="12" spans="1:18">
      <c r="A12" s="4">
        <v>2015</v>
      </c>
      <c r="B12" s="9">
        <v>5206.0842450373102</v>
      </c>
      <c r="C12" s="9">
        <v>557.004162874484</v>
      </c>
      <c r="D12" s="10">
        <v>10092.751401914684</v>
      </c>
      <c r="E12" s="10">
        <v>688.86965056715712</v>
      </c>
      <c r="F12" s="10">
        <v>15298.835646951993</v>
      </c>
      <c r="G12" s="10">
        <v>1235.7636439334476</v>
      </c>
      <c r="H12" s="9">
        <v>252.61798592056257</v>
      </c>
      <c r="I12" s="9">
        <v>33.100620170795224</v>
      </c>
      <c r="J12" s="11">
        <v>813.94755490588409</v>
      </c>
      <c r="K12" s="11">
        <v>80.881253598323269</v>
      </c>
      <c r="L12" s="11">
        <v>387.6099587519027</v>
      </c>
      <c r="M12" s="11">
        <v>38.516412757897662</v>
      </c>
      <c r="N12" s="9">
        <v>426.33759615398139</v>
      </c>
      <c r="O12" s="9">
        <v>42.364840840509942</v>
      </c>
      <c r="P12" s="9">
        <v>134.99197283134015</v>
      </c>
      <c r="Q12" s="9">
        <v>7.0173966611334455</v>
      </c>
      <c r="R12" s="3"/>
    </row>
    <row r="13" spans="1:18">
      <c r="B13" s="9"/>
      <c r="D13" s="9"/>
      <c r="F13" s="9"/>
      <c r="H13" s="9"/>
      <c r="I13" s="9"/>
      <c r="J13" s="9"/>
      <c r="K13" s="9"/>
      <c r="L13" s="9"/>
      <c r="M13" s="9"/>
      <c r="N13" s="9"/>
      <c r="O13" s="9"/>
    </row>
    <row r="14" spans="1:18">
      <c r="B14" s="12"/>
      <c r="C14" s="12"/>
      <c r="D14" s="12"/>
      <c r="E14" s="12"/>
      <c r="F14" s="12"/>
      <c r="G14" s="12"/>
      <c r="P14" s="9"/>
      <c r="Q14" s="9"/>
    </row>
    <row r="15" spans="1:18">
      <c r="B15" s="12"/>
      <c r="C15" s="12"/>
      <c r="D15" s="12"/>
      <c r="E15" s="12"/>
      <c r="F15" s="12"/>
      <c r="G15" s="12"/>
    </row>
    <row r="16" spans="1:18">
      <c r="B16" s="12"/>
      <c r="C16" s="12"/>
      <c r="D16" s="12"/>
      <c r="E16" s="12"/>
      <c r="F16" s="12"/>
      <c r="G16" s="12"/>
    </row>
    <row r="17" spans="1:8">
      <c r="A17" s="12"/>
    </row>
    <row r="18" spans="1:8" ht="20.25">
      <c r="A18" s="12"/>
      <c r="B18" s="13"/>
      <c r="C18" s="13"/>
      <c r="D18" s="13"/>
      <c r="E18" s="13"/>
      <c r="F18" s="13"/>
      <c r="G18" s="13"/>
      <c r="H18" s="1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9"/>
  <sheetViews>
    <sheetView workbookViewId="0"/>
  </sheetViews>
  <sheetFormatPr defaultColWidth="8.75" defaultRowHeight="14.25"/>
  <cols>
    <col min="1" max="7" width="10.625" style="21" customWidth="1"/>
    <col min="8" max="17" width="10.625" style="9" customWidth="1"/>
  </cols>
  <sheetData>
    <row r="1" spans="1:18">
      <c r="A1" s="9" t="s">
        <v>0</v>
      </c>
      <c r="B1" s="9" t="s">
        <v>1</v>
      </c>
      <c r="C1" s="9" t="s">
        <v>5</v>
      </c>
      <c r="D1" s="9" t="s">
        <v>2</v>
      </c>
      <c r="E1" s="9" t="s">
        <v>5</v>
      </c>
      <c r="F1" s="9" t="s">
        <v>4</v>
      </c>
      <c r="G1" s="9" t="s">
        <v>5</v>
      </c>
      <c r="H1" s="9" t="s">
        <v>3</v>
      </c>
      <c r="I1" s="18" t="s">
        <v>5</v>
      </c>
      <c r="J1" s="19" t="s">
        <v>7</v>
      </c>
      <c r="K1" s="18" t="s">
        <v>5</v>
      </c>
      <c r="L1" s="11" t="s">
        <v>6</v>
      </c>
      <c r="M1" s="18" t="s">
        <v>5</v>
      </c>
      <c r="N1" s="20" t="s">
        <v>8</v>
      </c>
      <c r="O1" s="18" t="s">
        <v>5</v>
      </c>
      <c r="P1" s="20" t="s">
        <v>9</v>
      </c>
      <c r="Q1" s="18" t="s">
        <v>5</v>
      </c>
    </row>
    <row r="2" spans="1:18">
      <c r="A2" s="4">
        <v>2005</v>
      </c>
      <c r="B2" s="11">
        <v>12089.352770809708</v>
      </c>
      <c r="C2" s="11">
        <v>724.86869176812024</v>
      </c>
      <c r="D2" s="10">
        <v>9992.5199947235578</v>
      </c>
      <c r="E2" s="11">
        <v>217.43614305949902</v>
      </c>
      <c r="F2" s="10">
        <v>22081.872765533266</v>
      </c>
      <c r="G2" s="11">
        <v>511.35924447141468</v>
      </c>
      <c r="H2" s="11">
        <v>186.21380851999308</v>
      </c>
      <c r="I2" s="11">
        <v>21.553922034067163</v>
      </c>
      <c r="J2" s="11">
        <v>1457.2667148235453</v>
      </c>
      <c r="K2" s="11">
        <v>177.10186428172898</v>
      </c>
      <c r="L2" s="11">
        <v>526.30632183238049</v>
      </c>
      <c r="M2" s="11">
        <v>63.962138460347326</v>
      </c>
      <c r="N2" s="9">
        <v>930.96039299116478</v>
      </c>
      <c r="O2" s="11">
        <v>113.13972582143606</v>
      </c>
      <c r="P2" s="9">
        <v>340.09251331238738</v>
      </c>
      <c r="Q2" s="11">
        <v>46.567586070991958</v>
      </c>
      <c r="R2" s="3"/>
    </row>
    <row r="3" spans="1:18">
      <c r="A3" s="4">
        <v>2006</v>
      </c>
      <c r="B3" s="11">
        <v>12404.985564235678</v>
      </c>
      <c r="C3" s="11">
        <v>742.66104084534732</v>
      </c>
      <c r="D3" s="10">
        <v>9886.6356698515374</v>
      </c>
      <c r="E3" s="11">
        <v>222.77324728714035</v>
      </c>
      <c r="F3" s="10">
        <v>22291.621234087215</v>
      </c>
      <c r="G3" s="11">
        <v>523.91087249015243</v>
      </c>
      <c r="H3" s="11">
        <v>218.79213569590516</v>
      </c>
      <c r="I3" s="11">
        <v>22.08297634303177</v>
      </c>
      <c r="J3" s="11">
        <v>1608.5357383605403</v>
      </c>
      <c r="K3" s="11">
        <v>181.4489387619939</v>
      </c>
      <c r="L3" s="11">
        <v>580.93869984286891</v>
      </c>
      <c r="M3" s="11">
        <v>65.532128595300591</v>
      </c>
      <c r="N3" s="9">
        <v>1027.5970385176715</v>
      </c>
      <c r="O3" s="11">
        <v>115.91681016674906</v>
      </c>
      <c r="P3" s="9">
        <v>362.14656414696356</v>
      </c>
      <c r="Q3" s="11">
        <v>47.71061619005792</v>
      </c>
      <c r="R3" s="3"/>
    </row>
    <row r="4" spans="1:18">
      <c r="A4" s="4">
        <v>2007</v>
      </c>
      <c r="B4" s="11">
        <v>12651.956773355847</v>
      </c>
      <c r="C4" s="11">
        <v>695.4224289510646</v>
      </c>
      <c r="D4" s="10">
        <v>9747.4611567703359</v>
      </c>
      <c r="E4" s="11">
        <v>208.60325803195104</v>
      </c>
      <c r="F4" s="10">
        <v>22399.417930126183</v>
      </c>
      <c r="G4" s="11">
        <v>490.58635294273341</v>
      </c>
      <c r="H4" s="11">
        <v>226.35941888734254</v>
      </c>
      <c r="I4" s="11">
        <v>20.678339380048364</v>
      </c>
      <c r="J4" s="11">
        <v>1560.5851686874266</v>
      </c>
      <c r="K4" s="11">
        <v>169.90747431806571</v>
      </c>
      <c r="L4" s="11">
        <v>563.62105960090935</v>
      </c>
      <c r="M4" s="11">
        <v>61.363811396655102</v>
      </c>
      <c r="N4" s="9">
        <v>996.96410908651728</v>
      </c>
      <c r="O4" s="11">
        <v>108.5436629214628</v>
      </c>
      <c r="P4" s="9">
        <v>337.26164071356675</v>
      </c>
      <c r="Q4" s="11">
        <v>44.675876036092369</v>
      </c>
      <c r="R4" s="3"/>
    </row>
    <row r="5" spans="1:18">
      <c r="A5" s="4">
        <v>2008</v>
      </c>
      <c r="B5" s="11">
        <v>12845.818652559838</v>
      </c>
      <c r="C5" s="11">
        <v>719.66803007918656</v>
      </c>
      <c r="D5" s="10">
        <v>9629.0623001374515</v>
      </c>
      <c r="E5" s="11">
        <v>215.87612007624568</v>
      </c>
      <c r="F5" s="10">
        <v>22474.880952697291</v>
      </c>
      <c r="G5" s="11">
        <v>507.69043319261931</v>
      </c>
      <c r="H5" s="11">
        <v>228.2308007736795</v>
      </c>
      <c r="I5" s="11">
        <v>21.399280706828421</v>
      </c>
      <c r="J5" s="11">
        <v>1606.3295530041005</v>
      </c>
      <c r="K5" s="11">
        <v>175.83122465958988</v>
      </c>
      <c r="L5" s="11">
        <v>580.14197301002548</v>
      </c>
      <c r="M5" s="11">
        <v>63.503234045229604</v>
      </c>
      <c r="N5" s="9">
        <v>1026.1875799940749</v>
      </c>
      <c r="O5" s="11">
        <v>112.32799061441429</v>
      </c>
      <c r="P5" s="9">
        <v>351.91117223634615</v>
      </c>
      <c r="Q5" s="11">
        <v>46.233481061938811</v>
      </c>
      <c r="R5" s="3"/>
    </row>
    <row r="6" spans="1:18">
      <c r="A6" s="4">
        <v>2009</v>
      </c>
      <c r="B6" s="11">
        <v>13365.223854200718</v>
      </c>
      <c r="C6" s="11">
        <v>778.16486936766148</v>
      </c>
      <c r="D6" s="10">
        <v>9601.5737195570018</v>
      </c>
      <c r="E6" s="11">
        <v>233.42319758214819</v>
      </c>
      <c r="F6" s="10">
        <v>22966.797573757722</v>
      </c>
      <c r="G6" s="11">
        <v>548.95707897581065</v>
      </c>
      <c r="H6" s="11">
        <v>275.83014105229699</v>
      </c>
      <c r="I6" s="11">
        <v>23.138680307861922</v>
      </c>
      <c r="J6" s="11">
        <v>2155.1187487621755</v>
      </c>
      <c r="K6" s="11">
        <v>190.12332943694955</v>
      </c>
      <c r="L6" s="11">
        <v>778.34272660609383</v>
      </c>
      <c r="M6" s="11">
        <v>68.664972959536343</v>
      </c>
      <c r="N6" s="9">
        <v>1376.7760221560816</v>
      </c>
      <c r="O6" s="11">
        <v>121.45835647747161</v>
      </c>
      <c r="P6" s="9">
        <v>502.51258555379695</v>
      </c>
      <c r="Q6" s="11">
        <v>49.991481137514491</v>
      </c>
      <c r="R6" s="3"/>
    </row>
    <row r="7" spans="1:18">
      <c r="A7" s="4">
        <v>2010</v>
      </c>
      <c r="B7" s="11">
        <v>13726.155364635499</v>
      </c>
      <c r="C7" s="11">
        <v>785.38352287816497</v>
      </c>
      <c r="D7" s="10">
        <v>9458.1625401330421</v>
      </c>
      <c r="E7" s="11">
        <v>235.58855000422366</v>
      </c>
      <c r="F7" s="10">
        <v>23184.317904768541</v>
      </c>
      <c r="G7" s="11">
        <v>554.04948432749984</v>
      </c>
      <c r="H7" s="11">
        <v>232.24259632533307</v>
      </c>
      <c r="I7" s="11">
        <v>23.353326486850307</v>
      </c>
      <c r="J7" s="11">
        <v>1795.2993779797432</v>
      </c>
      <c r="K7" s="11">
        <v>191.8870102371171</v>
      </c>
      <c r="L7" s="11">
        <v>648.39027011397354</v>
      </c>
      <c r="M7" s="11">
        <v>69.301944207680407</v>
      </c>
      <c r="N7" s="9">
        <v>1146.9091078657698</v>
      </c>
      <c r="O7" s="11">
        <v>122.58506602949565</v>
      </c>
      <c r="P7" s="9">
        <v>416.1476737886403</v>
      </c>
      <c r="Q7" s="11">
        <v>50.455227568398513</v>
      </c>
      <c r="R7" s="3"/>
    </row>
    <row r="8" spans="1:18">
      <c r="A8" s="4">
        <v>2011</v>
      </c>
      <c r="B8" s="11">
        <v>13819.117771378395</v>
      </c>
      <c r="C8" s="11">
        <v>730.26836090810832</v>
      </c>
      <c r="D8" s="10">
        <v>9436.3793937202227</v>
      </c>
      <c r="E8" s="11">
        <v>219.05586156152532</v>
      </c>
      <c r="F8" s="10">
        <v>23255.497165098619</v>
      </c>
      <c r="G8" s="11">
        <v>515.16844572838284</v>
      </c>
      <c r="H8" s="11">
        <v>219.69887965123095</v>
      </c>
      <c r="I8" s="11">
        <v>21.714480834543394</v>
      </c>
      <c r="J8" s="11">
        <v>1690.4789505203096</v>
      </c>
      <c r="K8" s="11">
        <v>178.42112593843513</v>
      </c>
      <c r="L8" s="11">
        <v>610.53339003878443</v>
      </c>
      <c r="M8" s="11">
        <v>64.43860321747394</v>
      </c>
      <c r="N8" s="9">
        <v>1079.9455604815253</v>
      </c>
      <c r="O8" s="11">
        <v>113.982522721016</v>
      </c>
      <c r="P8" s="9">
        <v>390.83451038755334</v>
      </c>
      <c r="Q8" s="11">
        <v>46.914475873637365</v>
      </c>
      <c r="R8" s="3"/>
    </row>
    <row r="9" spans="1:18">
      <c r="A9" s="4">
        <v>2012</v>
      </c>
      <c r="B9" s="11">
        <v>14141.922962049513</v>
      </c>
      <c r="C9" s="11">
        <v>811.08412648542651</v>
      </c>
      <c r="D9" s="10">
        <v>9325.3042220783009</v>
      </c>
      <c r="E9" s="11">
        <v>243.29786368562023</v>
      </c>
      <c r="F9" s="10">
        <v>23467.227184127813</v>
      </c>
      <c r="G9" s="11">
        <v>572.17999733256795</v>
      </c>
      <c r="H9" s="11">
        <v>203.46972958585147</v>
      </c>
      <c r="I9" s="11">
        <v>24.11753221496387</v>
      </c>
      <c r="J9" s="11">
        <v>1808.4193598614045</v>
      </c>
      <c r="K9" s="11">
        <v>198.16625068949378</v>
      </c>
      <c r="L9" s="11">
        <v>653.12888783467918</v>
      </c>
      <c r="M9" s="11">
        <v>71.569755723214897</v>
      </c>
      <c r="N9" s="9">
        <v>1155.2904720267252</v>
      </c>
      <c r="O9" s="11">
        <v>126.59649496633978</v>
      </c>
      <c r="P9" s="9">
        <v>449.65915824882791</v>
      </c>
      <c r="Q9" s="11">
        <v>52.106306010810336</v>
      </c>
      <c r="R9" s="3"/>
    </row>
    <row r="10" spans="1:18">
      <c r="A10" s="4">
        <v>2013</v>
      </c>
      <c r="B10" s="11">
        <v>14240.290773730827</v>
      </c>
      <c r="C10" s="11">
        <v>764.49415285727889</v>
      </c>
      <c r="D10" s="10">
        <v>9311.3454138455472</v>
      </c>
      <c r="E10" s="11">
        <v>229.32244401859342</v>
      </c>
      <c r="F10" s="10">
        <v>23551.636187576376</v>
      </c>
      <c r="G10" s="11">
        <v>539.31306021003888</v>
      </c>
      <c r="H10" s="11">
        <v>233.60298653585005</v>
      </c>
      <c r="I10" s="11">
        <v>22.732182467410457</v>
      </c>
      <c r="J10" s="11">
        <v>1816.2937455942629</v>
      </c>
      <c r="K10" s="11">
        <v>186.78326328765823</v>
      </c>
      <c r="L10" s="11">
        <v>655.97259036869968</v>
      </c>
      <c r="M10" s="11">
        <v>67.458674119181723</v>
      </c>
      <c r="N10" s="9">
        <v>1160.3211552255632</v>
      </c>
      <c r="O10" s="11">
        <v>119.32458916853389</v>
      </c>
      <c r="P10" s="9">
        <v>422.36960383284963</v>
      </c>
      <c r="Q10" s="11">
        <v>49.11323618780294</v>
      </c>
      <c r="R10" s="3"/>
    </row>
    <row r="11" spans="1:18">
      <c r="A11" s="4">
        <v>2014</v>
      </c>
      <c r="B11" s="11">
        <v>14465.038520209415</v>
      </c>
      <c r="C11" s="11">
        <v>772.3426019692663</v>
      </c>
      <c r="D11" s="10">
        <v>9204.5015954081355</v>
      </c>
      <c r="E11" s="11">
        <v>231.67671386537992</v>
      </c>
      <c r="F11" s="10">
        <v>23669.54011561755</v>
      </c>
      <c r="G11" s="11">
        <v>544.84975541257086</v>
      </c>
      <c r="H11" s="11">
        <v>263.38987866891938</v>
      </c>
      <c r="I11" s="11">
        <v>22.965555576456573</v>
      </c>
      <c r="J11" s="11">
        <v>2007.9984493791587</v>
      </c>
      <c r="K11" s="11">
        <v>188.70081743951818</v>
      </c>
      <c r="L11" s="11">
        <v>725.20885272325575</v>
      </c>
      <c r="M11" s="11">
        <v>68.151218292355253</v>
      </c>
      <c r="N11" s="9">
        <v>1282.7895966559031</v>
      </c>
      <c r="O11" s="11">
        <v>120.54959914722089</v>
      </c>
      <c r="P11" s="9">
        <v>461.81897405433619</v>
      </c>
      <c r="Q11" s="11">
        <v>49.617442444324752</v>
      </c>
      <c r="R11" s="3"/>
    </row>
    <row r="12" spans="1:18">
      <c r="A12" s="4">
        <v>2015</v>
      </c>
      <c r="B12" s="11">
        <v>14765.174922821714</v>
      </c>
      <c r="C12" s="11">
        <v>777.77883885838457</v>
      </c>
      <c r="D12" s="10">
        <v>9202.9575204487883</v>
      </c>
      <c r="E12" s="11">
        <v>233.30740145797606</v>
      </c>
      <c r="F12" s="10">
        <v>23968.132443270501</v>
      </c>
      <c r="G12" s="11">
        <v>548.68475341973601</v>
      </c>
      <c r="H12" s="11">
        <v>261.70004831106314</v>
      </c>
      <c r="I12" s="11">
        <v>23.127201716505699</v>
      </c>
      <c r="J12" s="11">
        <v>2030.4895809234586</v>
      </c>
      <c r="K12" s="11">
        <v>190.02901342683768</v>
      </c>
      <c r="L12" s="11">
        <v>733.33163984155021</v>
      </c>
      <c r="M12" s="11">
        <v>68.630909773797057</v>
      </c>
      <c r="N12" s="9">
        <v>1297.1579410819083</v>
      </c>
      <c r="O12" s="11">
        <v>121.398103653099</v>
      </c>
      <c r="P12" s="9">
        <v>471.63159153048696</v>
      </c>
      <c r="Q12" s="11">
        <v>49.966681461144233</v>
      </c>
      <c r="R12" s="3"/>
    </row>
    <row r="13" spans="1:18">
      <c r="B13" s="9"/>
      <c r="C13" s="9"/>
      <c r="D13" s="9"/>
      <c r="E13" s="9"/>
      <c r="F13" s="9"/>
      <c r="G13" s="9"/>
    </row>
    <row r="14" spans="1:18">
      <c r="B14" s="9"/>
      <c r="C14" s="9"/>
      <c r="D14" s="9"/>
      <c r="E14" s="9"/>
    </row>
    <row r="19" spans="2:8" ht="20.25">
      <c r="B19" s="22"/>
      <c r="C19" s="22"/>
      <c r="D19" s="22"/>
      <c r="E19" s="22"/>
      <c r="F19" s="22"/>
      <c r="G19" s="22"/>
      <c r="H19" s="2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"/>
  <sheetViews>
    <sheetView workbookViewId="0"/>
  </sheetViews>
  <sheetFormatPr defaultColWidth="8.75" defaultRowHeight="14.25"/>
  <cols>
    <col min="1" max="17" width="10.625" customWidth="1"/>
  </cols>
  <sheetData>
    <row r="1" spans="1:17">
      <c r="A1" s="4" t="s">
        <v>0</v>
      </c>
      <c r="B1" s="4" t="s">
        <v>1</v>
      </c>
      <c r="C1" s="4" t="s">
        <v>5</v>
      </c>
      <c r="D1" s="4" t="s">
        <v>2</v>
      </c>
      <c r="E1" s="4" t="s">
        <v>5</v>
      </c>
      <c r="F1" s="4" t="s">
        <v>4</v>
      </c>
      <c r="G1" s="4" t="s">
        <v>5</v>
      </c>
      <c r="H1" s="4" t="s">
        <v>3</v>
      </c>
      <c r="I1" s="5" t="s">
        <v>5</v>
      </c>
      <c r="J1" s="6" t="s">
        <v>7</v>
      </c>
      <c r="K1" s="5" t="s">
        <v>5</v>
      </c>
      <c r="L1" s="7" t="s">
        <v>6</v>
      </c>
      <c r="M1" s="5" t="s">
        <v>5</v>
      </c>
      <c r="N1" s="8" t="s">
        <v>8</v>
      </c>
      <c r="O1" s="5" t="s">
        <v>5</v>
      </c>
      <c r="P1" s="8" t="s">
        <v>9</v>
      </c>
      <c r="Q1" s="5" t="s">
        <v>5</v>
      </c>
    </row>
    <row r="2" spans="1:17">
      <c r="A2" s="4">
        <v>2005</v>
      </c>
      <c r="B2" s="11">
        <v>12154.094696646051</v>
      </c>
      <c r="C2" s="11">
        <v>455.72764801636333</v>
      </c>
      <c r="D2" s="10">
        <v>7334.0067514307921</v>
      </c>
      <c r="E2" s="11">
        <v>281.24208203828181</v>
      </c>
      <c r="F2" s="10">
        <v>19488.101448076843</v>
      </c>
      <c r="G2" s="11">
        <v>736.80856194203932</v>
      </c>
      <c r="H2" s="11">
        <v>145.33308722077109</v>
      </c>
      <c r="I2" s="11">
        <v>48.506307860576143</v>
      </c>
      <c r="J2" s="11">
        <v>1143.0140817870727</v>
      </c>
      <c r="K2" s="11">
        <v>130.16807448182033</v>
      </c>
      <c r="L2" s="11">
        <v>520.5514520523293</v>
      </c>
      <c r="M2" s="11">
        <v>59.281109632586343</v>
      </c>
      <c r="N2" s="9">
        <v>622.46262973474336</v>
      </c>
      <c r="O2" s="11">
        <v>70.886964849305528</v>
      </c>
      <c r="P2" s="9">
        <v>375.21836483155823</v>
      </c>
      <c r="Q2" s="11">
        <v>36.535975067593988</v>
      </c>
    </row>
    <row r="3" spans="1:17">
      <c r="A3" s="4">
        <v>2006</v>
      </c>
      <c r="B3" s="11">
        <v>12284.084269974994</v>
      </c>
      <c r="C3" s="11">
        <v>447.19040580169832</v>
      </c>
      <c r="D3" s="10">
        <v>7410.2859640948363</v>
      </c>
      <c r="E3" s="11">
        <v>275.97351475743233</v>
      </c>
      <c r="F3" s="10">
        <v>19694.370234069829</v>
      </c>
      <c r="G3" s="11">
        <v>723.00577164279389</v>
      </c>
      <c r="H3" s="11">
        <v>188.48860870870729</v>
      </c>
      <c r="I3" s="11">
        <v>47.597628957842602</v>
      </c>
      <c r="J3" s="11">
        <v>900.31825584100977</v>
      </c>
      <c r="K3" s="11">
        <v>127.72960846970786</v>
      </c>
      <c r="L3" s="11">
        <v>410.02295541494209</v>
      </c>
      <c r="M3" s="11">
        <v>58.170584094163608</v>
      </c>
      <c r="N3" s="9">
        <v>490.29530042606768</v>
      </c>
      <c r="O3" s="11">
        <v>69.55902437561447</v>
      </c>
      <c r="P3" s="9">
        <v>221.53434670623483</v>
      </c>
      <c r="Q3" s="11">
        <v>35.851538935490346</v>
      </c>
    </row>
    <row r="4" spans="1:17">
      <c r="A4" s="4">
        <v>2007</v>
      </c>
      <c r="B4" s="11">
        <v>12431.396118995588</v>
      </c>
      <c r="C4" s="11">
        <v>458.37145509543961</v>
      </c>
      <c r="D4" s="10">
        <v>7515.6530606616534</v>
      </c>
      <c r="E4" s="11">
        <v>282.8736481955325</v>
      </c>
      <c r="F4" s="10">
        <v>19947.049179657242</v>
      </c>
      <c r="G4" s="11">
        <v>741.08300019581941</v>
      </c>
      <c r="H4" s="11">
        <v>212.36784248715864</v>
      </c>
      <c r="I4" s="11">
        <v>48.787706894977148</v>
      </c>
      <c r="J4" s="11">
        <v>980.26267829388507</v>
      </c>
      <c r="K4" s="11">
        <v>130.92321689699457</v>
      </c>
      <c r="L4" s="11">
        <v>446.43122614975897</v>
      </c>
      <c r="M4" s="11">
        <v>59.625016389142182</v>
      </c>
      <c r="N4" s="9">
        <v>533.83145214412616</v>
      </c>
      <c r="O4" s="11">
        <v>71.298200507924378</v>
      </c>
      <c r="P4" s="9">
        <v>234.06338366260024</v>
      </c>
      <c r="Q4" s="11">
        <v>36.747930760747792</v>
      </c>
    </row>
    <row r="5" spans="1:17">
      <c r="A5" s="4">
        <v>2008</v>
      </c>
      <c r="B5" s="11">
        <v>12549.089094958337</v>
      </c>
      <c r="C5" s="11">
        <v>457.73105512597579</v>
      </c>
      <c r="D5" s="10">
        <v>7603.2879120020725</v>
      </c>
      <c r="E5" s="11">
        <v>282.47843973817163</v>
      </c>
      <c r="F5" s="10">
        <v>20152.377006960411</v>
      </c>
      <c r="G5" s="11">
        <v>740.04761824648585</v>
      </c>
      <c r="H5" s="11">
        <v>231.65604594884914</v>
      </c>
      <c r="I5" s="11">
        <v>48.719544609436809</v>
      </c>
      <c r="J5" s="11">
        <v>1042.697743298037</v>
      </c>
      <c r="K5" s="11">
        <v>130.7403014401726</v>
      </c>
      <c r="L5" s="11">
        <v>474.86529359312618</v>
      </c>
      <c r="M5" s="11">
        <v>59.54171308076549</v>
      </c>
      <c r="N5" s="9">
        <v>567.83244970491091</v>
      </c>
      <c r="O5" s="11">
        <v>71.198588359478975</v>
      </c>
      <c r="P5" s="9">
        <v>243.20924764427696</v>
      </c>
      <c r="Q5" s="11">
        <v>36.696589488346476</v>
      </c>
    </row>
    <row r="6" spans="1:17">
      <c r="A6" s="4">
        <v>2009</v>
      </c>
      <c r="B6" s="11">
        <v>12771.764732327782</v>
      </c>
      <c r="C6" s="11">
        <v>467.693413250258</v>
      </c>
      <c r="D6" s="10">
        <v>7709.3562335179786</v>
      </c>
      <c r="E6" s="11">
        <v>288.6264852936248</v>
      </c>
      <c r="F6" s="10">
        <v>20481.120965845759</v>
      </c>
      <c r="G6" s="11">
        <v>756.15449873761736</v>
      </c>
      <c r="H6" s="11">
        <v>333.61355011134856</v>
      </c>
      <c r="I6" s="11">
        <v>49.779908649883168</v>
      </c>
      <c r="J6" s="11">
        <v>1365.8525691381542</v>
      </c>
      <c r="K6" s="11">
        <v>133.58581888898354</v>
      </c>
      <c r="L6" s="11">
        <v>622.03655975412732</v>
      </c>
      <c r="M6" s="11">
        <v>60.837617875515747</v>
      </c>
      <c r="N6" s="9">
        <v>743.81600938402687</v>
      </c>
      <c r="O6" s="11">
        <v>72.748201013541234</v>
      </c>
      <c r="P6" s="9">
        <v>288.42300964277877</v>
      </c>
      <c r="Q6" s="11">
        <v>37.495278068307613</v>
      </c>
    </row>
    <row r="7" spans="1:17">
      <c r="A7" s="4">
        <v>2010</v>
      </c>
      <c r="B7" s="11">
        <v>12948.134096703152</v>
      </c>
      <c r="C7" s="11">
        <v>475.1657911186291</v>
      </c>
      <c r="D7" s="10">
        <v>7813.0673731852085</v>
      </c>
      <c r="E7" s="11">
        <v>293.23789546069457</v>
      </c>
      <c r="F7" s="10">
        <v>20761.201469888361</v>
      </c>
      <c r="G7" s="11">
        <v>768.23564416613499</v>
      </c>
      <c r="H7" s="11">
        <v>182.1090802759085</v>
      </c>
      <c r="I7" s="11">
        <v>50.575246529670416</v>
      </c>
      <c r="J7" s="11">
        <v>913.59887969124918</v>
      </c>
      <c r="K7" s="11">
        <v>135.72013100096564</v>
      </c>
      <c r="L7" s="11">
        <v>416.07123765960182</v>
      </c>
      <c r="M7" s="11">
        <v>61.809625726167617</v>
      </c>
      <c r="N7" s="9">
        <v>497.52764203164736</v>
      </c>
      <c r="O7" s="11">
        <v>73.910505274872619</v>
      </c>
      <c r="P7" s="9">
        <v>233.96215738369335</v>
      </c>
      <c r="Q7" s="11">
        <v>38.09434334925507</v>
      </c>
    </row>
    <row r="8" spans="1:17">
      <c r="A8" s="4">
        <v>2011</v>
      </c>
      <c r="B8" s="11">
        <v>13047.189647869094</v>
      </c>
      <c r="C8" s="11">
        <v>454.21063905553655</v>
      </c>
      <c r="D8" s="10">
        <v>7869.9898635799173</v>
      </c>
      <c r="E8" s="11">
        <v>280.30589403110099</v>
      </c>
      <c r="F8" s="10">
        <v>20917.179511449012</v>
      </c>
      <c r="G8" s="11">
        <v>734.35590146435015</v>
      </c>
      <c r="H8" s="11">
        <v>311.75180813419246</v>
      </c>
      <c r="I8" s="11">
        <v>48.34484189729433</v>
      </c>
      <c r="J8" s="11">
        <v>1297.4273655159927</v>
      </c>
      <c r="K8" s="11">
        <v>129.73477591794781</v>
      </c>
      <c r="L8" s="11">
        <v>590.87412224430227</v>
      </c>
      <c r="M8" s="11">
        <v>59.083776916627976</v>
      </c>
      <c r="N8" s="9">
        <v>706.55324327169046</v>
      </c>
      <c r="O8" s="11">
        <v>70.650999001391142</v>
      </c>
      <c r="P8" s="9">
        <v>279.12231411010976</v>
      </c>
      <c r="Q8" s="11">
        <v>36.414355495440901</v>
      </c>
    </row>
    <row r="9" spans="1:17">
      <c r="A9" s="4">
        <v>2012</v>
      </c>
      <c r="B9" s="11">
        <v>13302.905000698227</v>
      </c>
      <c r="C9" s="11">
        <v>489.14461101222548</v>
      </c>
      <c r="D9" s="10">
        <v>8023.0808497198723</v>
      </c>
      <c r="E9" s="11">
        <v>301.86461018477479</v>
      </c>
      <c r="F9" s="10">
        <v>21325.985850418099</v>
      </c>
      <c r="G9" s="11">
        <v>790.83623517323963</v>
      </c>
      <c r="H9" s="11">
        <v>193.68799311961325</v>
      </c>
      <c r="I9" s="11">
        <v>52.063110924639027</v>
      </c>
      <c r="J9" s="11">
        <v>963.46219719215651</v>
      </c>
      <c r="K9" s="11">
        <v>139.71285796628743</v>
      </c>
      <c r="L9" s="11">
        <v>438.77993819311718</v>
      </c>
      <c r="M9" s="11">
        <v>63.627992371802236</v>
      </c>
      <c r="N9" s="9">
        <v>524.68225899903928</v>
      </c>
      <c r="O9" s="11">
        <v>76.08486559456199</v>
      </c>
      <c r="P9" s="9">
        <v>245.09194507350401</v>
      </c>
      <c r="Q9" s="11">
        <v>39.215034220940971</v>
      </c>
    </row>
    <row r="10" spans="1:17">
      <c r="A10" s="4">
        <v>2013</v>
      </c>
      <c r="B10" s="11">
        <v>13342.096330429165</v>
      </c>
      <c r="C10" s="11">
        <v>460.77952365566057</v>
      </c>
      <c r="D10" s="10">
        <v>8069.0088755136039</v>
      </c>
      <c r="E10" s="11">
        <v>284.35973362070985</v>
      </c>
      <c r="F10" s="10">
        <v>21411.105205942767</v>
      </c>
      <c r="G10" s="11">
        <v>744.9763025676134</v>
      </c>
      <c r="H10" s="11">
        <v>241.49389301715431</v>
      </c>
      <c r="I10" s="11">
        <v>49.044014616134447</v>
      </c>
      <c r="J10" s="11">
        <v>1095.4618245042709</v>
      </c>
      <c r="K10" s="11">
        <v>131.61102605026525</v>
      </c>
      <c r="L10" s="11">
        <v>498.89507388895288</v>
      </c>
      <c r="M10" s="11">
        <v>59.938258249587996</v>
      </c>
      <c r="N10" s="9">
        <v>596.56675061531803</v>
      </c>
      <c r="O10" s="11">
        <v>71.672767800749611</v>
      </c>
      <c r="P10" s="9">
        <v>257.4011808717986</v>
      </c>
      <c r="Q10" s="11">
        <v>36.940987147079063</v>
      </c>
    </row>
    <row r="11" spans="1:17">
      <c r="A11" s="4">
        <v>2014</v>
      </c>
      <c r="B11" s="11">
        <v>13521.855004290694</v>
      </c>
      <c r="C11" s="11">
        <v>478.25243937961557</v>
      </c>
      <c r="D11" s="10">
        <v>8194.629673839665</v>
      </c>
      <c r="E11" s="11">
        <v>295.14275110686441</v>
      </c>
      <c r="F11" s="10">
        <v>21716.484678130357</v>
      </c>
      <c r="G11" s="11">
        <v>773.22605647993146</v>
      </c>
      <c r="H11" s="11">
        <v>251.71456553665351</v>
      </c>
      <c r="I11" s="11">
        <v>50.90378027445508</v>
      </c>
      <c r="J11" s="11">
        <v>1138.0956610473518</v>
      </c>
      <c r="K11" s="11">
        <v>136.60176076928033</v>
      </c>
      <c r="L11" s="11">
        <v>518.31148413705216</v>
      </c>
      <c r="M11" s="11">
        <v>62.211137319228136</v>
      </c>
      <c r="N11" s="9">
        <v>619.78417691029961</v>
      </c>
      <c r="O11" s="11">
        <v>74.390623450127293</v>
      </c>
      <c r="P11" s="9">
        <v>266.59691860039868</v>
      </c>
      <c r="Q11" s="11">
        <v>38.341801901301892</v>
      </c>
    </row>
    <row r="12" spans="1:17">
      <c r="A12" s="4">
        <v>2015</v>
      </c>
      <c r="B12" s="11">
        <v>13731.652909517694</v>
      </c>
      <c r="C12" s="11">
        <v>493.58229756186313</v>
      </c>
      <c r="D12" s="10">
        <v>8318.3353468714668</v>
      </c>
      <c r="E12" s="11">
        <v>304.60322876559997</v>
      </c>
      <c r="F12" s="10">
        <v>22049.988256389159</v>
      </c>
      <c r="G12" s="11">
        <v>798.01097091556312</v>
      </c>
      <c r="H12" s="11">
        <v>248.61836570251637</v>
      </c>
      <c r="I12" s="11">
        <v>52.535445203461919</v>
      </c>
      <c r="J12" s="11">
        <v>1143.3946461766498</v>
      </c>
      <c r="K12" s="11">
        <v>140.98038061020537</v>
      </c>
      <c r="L12" s="11">
        <v>520.72482896707254</v>
      </c>
      <c r="M12" s="11">
        <v>64.205247194960734</v>
      </c>
      <c r="N12" s="9">
        <v>622.66981720957722</v>
      </c>
      <c r="O12" s="11">
        <v>76.775133415322131</v>
      </c>
      <c r="P12" s="9">
        <v>272.10646326455617</v>
      </c>
      <c r="Q12" s="11">
        <v>39.570806370910546</v>
      </c>
    </row>
    <row r="14" spans="1:17">
      <c r="B14" s="2"/>
      <c r="C14" s="2"/>
      <c r="D14" s="2"/>
      <c r="E14" s="2"/>
      <c r="F14" s="2"/>
      <c r="G14" s="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8"/>
  <sheetViews>
    <sheetView workbookViewId="0"/>
  </sheetViews>
  <sheetFormatPr defaultColWidth="8.75" defaultRowHeight="14.25"/>
  <cols>
    <col min="1" max="17" width="10.625" style="4" customWidth="1"/>
  </cols>
  <sheetData>
    <row r="1" spans="1:18">
      <c r="A1" s="4" t="s">
        <v>0</v>
      </c>
      <c r="B1" s="4" t="s">
        <v>1</v>
      </c>
      <c r="C1" s="4" t="s">
        <v>5</v>
      </c>
      <c r="D1" s="4" t="s">
        <v>2</v>
      </c>
      <c r="E1" s="4" t="s">
        <v>5</v>
      </c>
      <c r="F1" s="4" t="s">
        <v>4</v>
      </c>
      <c r="G1" s="4" t="s">
        <v>5</v>
      </c>
      <c r="H1" s="4" t="s">
        <v>3</v>
      </c>
      <c r="I1" s="5" t="s">
        <v>5</v>
      </c>
      <c r="J1" s="6" t="s">
        <v>7</v>
      </c>
      <c r="K1" s="5" t="s">
        <v>5</v>
      </c>
      <c r="L1" s="7" t="s">
        <v>6</v>
      </c>
      <c r="M1" s="5" t="s">
        <v>5</v>
      </c>
      <c r="N1" s="8" t="s">
        <v>8</v>
      </c>
      <c r="O1" s="5" t="s">
        <v>5</v>
      </c>
      <c r="P1" s="8" t="s">
        <v>9</v>
      </c>
      <c r="Q1" s="5" t="s">
        <v>5</v>
      </c>
    </row>
    <row r="2" spans="1:18">
      <c r="A2" s="4">
        <v>2005</v>
      </c>
      <c r="B2" s="11">
        <v>4586.8784646960748</v>
      </c>
      <c r="C2" s="11">
        <v>439.97468543638848</v>
      </c>
      <c r="D2" s="10">
        <v>8013.7990372663271</v>
      </c>
      <c r="E2" s="11">
        <v>533.33814232943143</v>
      </c>
      <c r="F2" s="10">
        <v>12600.677501962402</v>
      </c>
      <c r="G2" s="11">
        <v>971.20350944420477</v>
      </c>
      <c r="H2" s="11">
        <v>230.96224251150488</v>
      </c>
      <c r="I2" s="11">
        <v>69.198366695182088</v>
      </c>
      <c r="J2" s="11">
        <v>888.98109636132267</v>
      </c>
      <c r="K2" s="11">
        <v>245.01178264374556</v>
      </c>
      <c r="L2" s="11">
        <v>389.5426841556681</v>
      </c>
      <c r="M2" s="11">
        <v>107.36175171577658</v>
      </c>
      <c r="N2" s="9">
        <v>499.43841220565457</v>
      </c>
      <c r="O2" s="11">
        <v>137.65003092799637</v>
      </c>
      <c r="P2" s="9">
        <v>158.58044164416322</v>
      </c>
      <c r="Q2" s="11">
        <v>57.53105485080291</v>
      </c>
      <c r="R2" s="3"/>
    </row>
    <row r="3" spans="1:18">
      <c r="A3" s="4">
        <v>2006</v>
      </c>
      <c r="B3" s="11">
        <v>4757.4048745493346</v>
      </c>
      <c r="C3" s="11">
        <v>453.37616344424072</v>
      </c>
      <c r="D3" s="10">
        <v>8326.6926402208046</v>
      </c>
      <c r="E3" s="11">
        <v>549.58343921074493</v>
      </c>
      <c r="F3" s="10">
        <v>13084.097514770139</v>
      </c>
      <c r="G3" s="11">
        <v>1000.7860352207866</v>
      </c>
      <c r="H3" s="11">
        <v>225.52034568982748</v>
      </c>
      <c r="I3" s="11">
        <v>71.30612520979976</v>
      </c>
      <c r="J3" s="11">
        <v>707.49594696459133</v>
      </c>
      <c r="K3" s="11">
        <v>252.47475750446529</v>
      </c>
      <c r="L3" s="11">
        <v>310.01766201885346</v>
      </c>
      <c r="M3" s="11">
        <v>110.63195384814789</v>
      </c>
      <c r="N3" s="9">
        <v>397.47828494573787</v>
      </c>
      <c r="O3" s="11">
        <v>141.84280365634561</v>
      </c>
      <c r="P3" s="9">
        <v>84.497316329025978</v>
      </c>
      <c r="Q3" s="11">
        <v>59.283431048508149</v>
      </c>
      <c r="R3" s="3"/>
    </row>
    <row r="4" spans="1:18">
      <c r="A4" s="4">
        <v>2007</v>
      </c>
      <c r="B4" s="11">
        <v>4871.9098145741791</v>
      </c>
      <c r="C4" s="11">
        <v>435.24784650363029</v>
      </c>
      <c r="D4" s="10">
        <v>8548.9623047742953</v>
      </c>
      <c r="E4" s="11">
        <v>527.60825927266592</v>
      </c>
      <c r="F4" s="10">
        <v>13420.872119348474</v>
      </c>
      <c r="G4" s="11">
        <v>960.76944877655762</v>
      </c>
      <c r="H4" s="11">
        <v>240.30876621180309</v>
      </c>
      <c r="I4" s="11">
        <v>68.454938619419863</v>
      </c>
      <c r="J4" s="11">
        <v>716.03930119377731</v>
      </c>
      <c r="K4" s="11">
        <v>242.37951476215994</v>
      </c>
      <c r="L4" s="11">
        <v>313.76126359119138</v>
      </c>
      <c r="M4" s="11">
        <v>106.20831783719807</v>
      </c>
      <c r="N4" s="9">
        <v>402.27803760258593</v>
      </c>
      <c r="O4" s="11">
        <v>136.17119692498895</v>
      </c>
      <c r="P4" s="9">
        <v>73.452497379388262</v>
      </c>
      <c r="Q4" s="11">
        <v>56.91297376815676</v>
      </c>
      <c r="R4" s="3"/>
    </row>
    <row r="5" spans="1:18">
      <c r="A5" s="4">
        <v>2008</v>
      </c>
      <c r="B5" s="11">
        <v>4991.5627006188242</v>
      </c>
      <c r="C5" s="11">
        <v>439.46076744931059</v>
      </c>
      <c r="D5" s="10">
        <v>8788.1044064259822</v>
      </c>
      <c r="E5" s="11">
        <v>532.71516997758818</v>
      </c>
      <c r="F5" s="10">
        <v>13779.667107044806</v>
      </c>
      <c r="G5" s="11">
        <v>970.06908292118442</v>
      </c>
      <c r="H5" s="11">
        <v>231.4427949478424</v>
      </c>
      <c r="I5" s="11">
        <v>69.117538669165555</v>
      </c>
      <c r="J5" s="11">
        <v>692.03905827622805</v>
      </c>
      <c r="K5" s="11">
        <v>244.72559353715698</v>
      </c>
      <c r="L5" s="11">
        <v>303.24454585931159</v>
      </c>
      <c r="M5" s="11">
        <v>107.23634646598089</v>
      </c>
      <c r="N5" s="9">
        <v>388.79451241691646</v>
      </c>
      <c r="O5" s="11">
        <v>137.48924707120341</v>
      </c>
      <c r="P5" s="9">
        <v>71.801750911469185</v>
      </c>
      <c r="Q5" s="11">
        <v>57.46385497571449</v>
      </c>
      <c r="R5" s="3"/>
    </row>
    <row r="6" spans="1:18">
      <c r="A6" s="4">
        <v>2009</v>
      </c>
      <c r="B6" s="11">
        <v>5183.1624302081791</v>
      </c>
      <c r="C6" s="11">
        <v>452.5713190791306</v>
      </c>
      <c r="D6" s="10">
        <v>8940.052591411888</v>
      </c>
      <c r="E6" s="11">
        <v>548.60780535552351</v>
      </c>
      <c r="F6" s="10">
        <v>14123.215021620068</v>
      </c>
      <c r="G6" s="11">
        <v>999.00941557009912</v>
      </c>
      <c r="H6" s="11">
        <v>332.44207266406738</v>
      </c>
      <c r="I6" s="11">
        <v>71.179540846305756</v>
      </c>
      <c r="J6" s="11">
        <v>866.73572430390243</v>
      </c>
      <c r="K6" s="11">
        <v>252.02655818942785</v>
      </c>
      <c r="L6" s="11">
        <v>379.79493472548978</v>
      </c>
      <c r="M6" s="11">
        <v>110.43555731953603</v>
      </c>
      <c r="N6" s="9">
        <v>486.94078957841265</v>
      </c>
      <c r="O6" s="11">
        <v>141.59100086991995</v>
      </c>
      <c r="P6" s="9">
        <v>47.3528620614224</v>
      </c>
      <c r="Q6" s="11">
        <v>59.178189663382582</v>
      </c>
      <c r="R6" s="3"/>
    </row>
    <row r="7" spans="1:18">
      <c r="A7" s="4">
        <v>2010</v>
      </c>
      <c r="B7" s="11">
        <v>5322.6684621109507</v>
      </c>
      <c r="C7" s="11">
        <v>470.33896281549016</v>
      </c>
      <c r="D7" s="10">
        <v>9086.9479774692118</v>
      </c>
      <c r="E7" s="11">
        <v>570.14577655612163</v>
      </c>
      <c r="F7" s="10">
        <v>14409.616439580162</v>
      </c>
      <c r="G7" s="11">
        <v>1038.2298492052555</v>
      </c>
      <c r="H7" s="11">
        <v>227.02783141106534</v>
      </c>
      <c r="I7" s="11">
        <v>73.974001453416577</v>
      </c>
      <c r="J7" s="11">
        <v>720.18384989681306</v>
      </c>
      <c r="K7" s="11">
        <v>261.92095031998105</v>
      </c>
      <c r="L7" s="11">
        <v>315.57734745322119</v>
      </c>
      <c r="M7" s="11">
        <v>114.77118256921464</v>
      </c>
      <c r="N7" s="9">
        <v>404.60650244359186</v>
      </c>
      <c r="O7" s="11">
        <v>147.14976775079569</v>
      </c>
      <c r="P7" s="9">
        <v>88.549516042155858</v>
      </c>
      <c r="Q7" s="11">
        <v>61.501485344251513</v>
      </c>
      <c r="R7" s="3"/>
    </row>
    <row r="8" spans="1:18">
      <c r="A8" s="4">
        <v>2011</v>
      </c>
      <c r="B8" s="11">
        <v>5443.8376466499785</v>
      </c>
      <c r="C8" s="11">
        <v>441.48494110062251</v>
      </c>
      <c r="D8" s="10">
        <v>9208.7138324520783</v>
      </c>
      <c r="E8" s="11">
        <v>535.16887709001469</v>
      </c>
      <c r="F8" s="10">
        <v>14652.551479102058</v>
      </c>
      <c r="G8" s="11">
        <v>974.53725942985966</v>
      </c>
      <c r="H8" s="11">
        <v>349.92766244883694</v>
      </c>
      <c r="I8" s="11">
        <v>69.435896782063082</v>
      </c>
      <c r="J8" s="11">
        <v>899.44469960248523</v>
      </c>
      <c r="K8" s="11">
        <v>245.85280928639156</v>
      </c>
      <c r="L8" s="11">
        <v>394.12772395642065</v>
      </c>
      <c r="M8" s="11">
        <v>107.73028131308742</v>
      </c>
      <c r="N8" s="9">
        <v>505.31697564606458</v>
      </c>
      <c r="O8" s="11">
        <v>138.12252797333161</v>
      </c>
      <c r="P8" s="9">
        <v>44.200061507583712</v>
      </c>
      <c r="Q8" s="11">
        <v>57.728535761259394</v>
      </c>
      <c r="R8" s="3"/>
    </row>
    <row r="9" spans="1:18">
      <c r="A9" s="4">
        <v>2012</v>
      </c>
      <c r="B9" s="11">
        <v>5629.6819920343378</v>
      </c>
      <c r="C9" s="11">
        <v>474.43970441868368</v>
      </c>
      <c r="D9" s="10">
        <v>9444.8992432382838</v>
      </c>
      <c r="E9" s="11">
        <v>575.11670325080399</v>
      </c>
      <c r="F9" s="10">
        <v>15074.581235272621</v>
      </c>
      <c r="G9" s="11">
        <v>1047.2818578052395</v>
      </c>
      <c r="H9" s="11">
        <v>318.82881102370112</v>
      </c>
      <c r="I9" s="11">
        <v>74.61895815336517</v>
      </c>
      <c r="J9" s="11">
        <v>882.23495929176738</v>
      </c>
      <c r="K9" s="11">
        <v>264.20455899933785</v>
      </c>
      <c r="L9" s="11">
        <v>386.58654799894731</v>
      </c>
      <c r="M9" s="11">
        <v>115.77183741692694</v>
      </c>
      <c r="N9" s="9">
        <v>495.64841129282007</v>
      </c>
      <c r="O9" s="11">
        <v>148.43272158244042</v>
      </c>
      <c r="P9" s="9">
        <v>67.757736975246246</v>
      </c>
      <c r="Q9" s="11">
        <v>62.037697989913838</v>
      </c>
      <c r="R9" s="3"/>
    </row>
    <row r="10" spans="1:18">
      <c r="A10" s="4">
        <v>2013</v>
      </c>
      <c r="B10" s="11">
        <v>5800.8936863310619</v>
      </c>
      <c r="C10" s="11">
        <v>462.70509087783535</v>
      </c>
      <c r="D10" s="10">
        <v>9578.8609663610659</v>
      </c>
      <c r="E10" s="11">
        <v>560.89198261574677</v>
      </c>
      <c r="F10" s="10">
        <v>15379.754652692129</v>
      </c>
      <c r="G10" s="11">
        <v>1021.3787814917931</v>
      </c>
      <c r="H10" s="11">
        <v>296.23285487504421</v>
      </c>
      <c r="I10" s="11">
        <v>72.773360854919531</v>
      </c>
      <c r="J10" s="11">
        <v>859.6152413288138</v>
      </c>
      <c r="K10" s="11">
        <v>257.66982262143239</v>
      </c>
      <c r="L10" s="11">
        <v>376.67483226759998</v>
      </c>
      <c r="M10" s="11">
        <v>112.90838025187763</v>
      </c>
      <c r="N10" s="9">
        <v>482.94040906121381</v>
      </c>
      <c r="O10" s="11">
        <v>144.76144236958356</v>
      </c>
      <c r="P10" s="9">
        <v>80.441977392555827</v>
      </c>
      <c r="Q10" s="11">
        <v>60.503280857251042</v>
      </c>
      <c r="R10" s="3"/>
    </row>
    <row r="11" spans="1:18">
      <c r="A11" s="4">
        <v>2014</v>
      </c>
      <c r="B11" s="11">
        <v>5991.0729483837777</v>
      </c>
      <c r="C11" s="11">
        <v>465.93460864828273</v>
      </c>
      <c r="D11" s="10">
        <v>9734.0128419884695</v>
      </c>
      <c r="E11" s="11">
        <v>564.80681013952096</v>
      </c>
      <c r="F11" s="10">
        <v>15725.085790372246</v>
      </c>
      <c r="G11" s="11">
        <v>1028.5076438929559</v>
      </c>
      <c r="H11" s="11">
        <v>388.75352962954224</v>
      </c>
      <c r="I11" s="11">
        <v>73.281293157220887</v>
      </c>
      <c r="J11" s="11">
        <v>1020.8661500165955</v>
      </c>
      <c r="K11" s="11">
        <v>259.46826678699193</v>
      </c>
      <c r="L11" s="11">
        <v>447.33317322485993</v>
      </c>
      <c r="M11" s="11">
        <v>113.69644078469797</v>
      </c>
      <c r="N11" s="9">
        <v>573.53297679173556</v>
      </c>
      <c r="O11" s="11">
        <v>145.77182600232297</v>
      </c>
      <c r="P11" s="9">
        <v>58.579643595317748</v>
      </c>
      <c r="Q11" s="11">
        <v>60.925572343882756</v>
      </c>
      <c r="R11" s="3"/>
    </row>
    <row r="12" spans="1:18">
      <c r="A12" s="4">
        <v>2015</v>
      </c>
      <c r="B12" s="11">
        <v>6150.0987360040062</v>
      </c>
      <c r="C12" s="11">
        <v>476.85164249881177</v>
      </c>
      <c r="D12" s="10">
        <v>10075.917516276151</v>
      </c>
      <c r="E12" s="11">
        <v>578.04045913415268</v>
      </c>
      <c r="F12" s="10">
        <v>16226.016252280158</v>
      </c>
      <c r="G12" s="11">
        <v>1052.6059885007569</v>
      </c>
      <c r="H12" s="11">
        <v>473.51929736573487</v>
      </c>
      <c r="I12" s="11">
        <v>74.998303104880364</v>
      </c>
      <c r="J12" s="11">
        <v>1712.9059777669459</v>
      </c>
      <c r="K12" s="11">
        <v>265.54771184017096</v>
      </c>
      <c r="L12" s="11">
        <v>750.57844682395671</v>
      </c>
      <c r="M12" s="11">
        <v>116.36039377229021</v>
      </c>
      <c r="N12" s="9">
        <v>962.32753094298914</v>
      </c>
      <c r="O12" s="11">
        <v>149.18731806791038</v>
      </c>
      <c r="P12" s="9">
        <v>277.05914945822178</v>
      </c>
      <c r="Q12" s="11">
        <v>62.353082821309215</v>
      </c>
      <c r="R12" s="3"/>
    </row>
    <row r="14" spans="1:18">
      <c r="B14" s="12"/>
      <c r="C14" s="12"/>
      <c r="D14" s="12"/>
      <c r="E14" s="12"/>
      <c r="F14" s="12"/>
      <c r="G14" s="12"/>
    </row>
    <row r="15" spans="1:18">
      <c r="B15" s="12"/>
      <c r="C15" s="12"/>
      <c r="D15" s="12"/>
      <c r="E15" s="12"/>
      <c r="F15" s="12"/>
      <c r="G15" s="12"/>
    </row>
    <row r="16" spans="1:18">
      <c r="B16" s="12"/>
      <c r="C16" s="12"/>
      <c r="D16" s="12"/>
      <c r="E16" s="12"/>
      <c r="F16" s="12"/>
      <c r="G16" s="12"/>
    </row>
    <row r="17" spans="1:1">
      <c r="A17" s="12"/>
    </row>
    <row r="18" spans="1:1">
      <c r="A18" s="1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8"/>
  <sheetViews>
    <sheetView workbookViewId="0"/>
  </sheetViews>
  <sheetFormatPr defaultColWidth="8.75" defaultRowHeight="14.25"/>
  <cols>
    <col min="1" max="17" width="10.625" style="4" customWidth="1"/>
  </cols>
  <sheetData>
    <row r="1" spans="1:17">
      <c r="A1" s="4" t="s">
        <v>0</v>
      </c>
      <c r="B1" s="4" t="s">
        <v>1</v>
      </c>
      <c r="C1" s="4" t="s">
        <v>5</v>
      </c>
      <c r="D1" s="4" t="s">
        <v>2</v>
      </c>
      <c r="E1" s="4" t="s">
        <v>5</v>
      </c>
      <c r="F1" s="4" t="s">
        <v>4</v>
      </c>
      <c r="G1" s="4" t="s">
        <v>5</v>
      </c>
      <c r="H1" s="4" t="s">
        <v>3</v>
      </c>
      <c r="I1" s="5" t="s">
        <v>5</v>
      </c>
      <c r="J1" s="6" t="s">
        <v>7</v>
      </c>
      <c r="K1" s="5" t="s">
        <v>5</v>
      </c>
      <c r="L1" s="7" t="s">
        <v>6</v>
      </c>
      <c r="M1" s="5" t="s">
        <v>5</v>
      </c>
      <c r="N1" s="8" t="s">
        <v>8</v>
      </c>
      <c r="O1" s="5" t="s">
        <v>5</v>
      </c>
      <c r="P1" s="8" t="s">
        <v>9</v>
      </c>
      <c r="Q1" s="5" t="s">
        <v>5</v>
      </c>
    </row>
    <row r="2" spans="1:17">
      <c r="A2" s="4">
        <v>2005</v>
      </c>
      <c r="B2" s="11">
        <v>2565.2702710913609</v>
      </c>
      <c r="C2" s="11">
        <v>327.40049765270101</v>
      </c>
      <c r="D2" s="10">
        <v>13459.945268028925</v>
      </c>
      <c r="E2" s="11">
        <v>885.15333011690439</v>
      </c>
      <c r="F2" s="10">
        <v>16025.215539120287</v>
      </c>
      <c r="G2" s="11">
        <v>1203.7951109516382</v>
      </c>
      <c r="H2" s="11">
        <v>268.04392560106385</v>
      </c>
      <c r="I2" s="11">
        <v>108.03566672737871</v>
      </c>
      <c r="J2" s="11">
        <v>888.14894708266775</v>
      </c>
      <c r="K2" s="11">
        <v>168.77896479201351</v>
      </c>
      <c r="L2" s="11">
        <v>598.09731927412565</v>
      </c>
      <c r="M2" s="11">
        <v>113.65917972983219</v>
      </c>
      <c r="N2" s="9">
        <v>290.05162780854209</v>
      </c>
      <c r="O2" s="11">
        <v>55.119785062329392</v>
      </c>
      <c r="P2" s="9">
        <v>330.05339367306181</v>
      </c>
      <c r="Q2" s="11">
        <v>36.365956656989411</v>
      </c>
    </row>
    <row r="3" spans="1:17">
      <c r="A3" s="4">
        <v>2006</v>
      </c>
      <c r="B3" s="11">
        <v>2760.8018625778568</v>
      </c>
      <c r="C3" s="11">
        <v>317.5591918711068</v>
      </c>
      <c r="D3" s="10">
        <v>13666.131496448001</v>
      </c>
      <c r="E3" s="11">
        <v>858.54657585803545</v>
      </c>
      <c r="F3" s="10">
        <v>16426.933359025857</v>
      </c>
      <c r="G3" s="11">
        <v>1167.6103284904029</v>
      </c>
      <c r="H3" s="11">
        <v>460.74974763750868</v>
      </c>
      <c r="I3" s="11">
        <v>104.78823112723381</v>
      </c>
      <c r="J3" s="11">
        <v>1005.8970270495812</v>
      </c>
      <c r="K3" s="11">
        <v>163.70565117786904</v>
      </c>
      <c r="L3" s="11">
        <v>677.39116351493567</v>
      </c>
      <c r="M3" s="11">
        <v>110.24270739510476</v>
      </c>
      <c r="N3" s="9">
        <v>328.50586353464553</v>
      </c>
      <c r="O3" s="11">
        <v>53.462943782907914</v>
      </c>
      <c r="P3" s="9">
        <v>216.64141587742699</v>
      </c>
      <c r="Q3" s="11">
        <v>35.272835229051715</v>
      </c>
    </row>
    <row r="4" spans="1:17">
      <c r="A4" s="4">
        <v>2007</v>
      </c>
      <c r="B4" s="11">
        <v>2974.2383563243993</v>
      </c>
      <c r="C4" s="11">
        <v>320.16812758958548</v>
      </c>
      <c r="D4" s="10">
        <v>13929.42944948657</v>
      </c>
      <c r="E4" s="11">
        <v>865.60004143255026</v>
      </c>
      <c r="F4" s="10">
        <v>16903.667805810968</v>
      </c>
      <c r="G4" s="11">
        <v>1177.2029347485134</v>
      </c>
      <c r="H4" s="11">
        <v>383.27349735535427</v>
      </c>
      <c r="I4" s="11">
        <v>105.64912813812873</v>
      </c>
      <c r="J4" s="11">
        <v>903.00269995263534</v>
      </c>
      <c r="K4" s="11">
        <v>165.05058948105037</v>
      </c>
      <c r="L4" s="11">
        <v>608.10012328454638</v>
      </c>
      <c r="M4" s="11">
        <v>111.14841613976493</v>
      </c>
      <c r="N4" s="9">
        <v>294.90257666808895</v>
      </c>
      <c r="O4" s="11">
        <v>53.90217334143022</v>
      </c>
      <c r="P4" s="9">
        <v>224.82662592919212</v>
      </c>
      <c r="Q4" s="11">
        <v>35.56262233670514</v>
      </c>
    </row>
    <row r="5" spans="1:17">
      <c r="A5" s="4">
        <v>2008</v>
      </c>
      <c r="B5" s="11">
        <v>3147.3025877900309</v>
      </c>
      <c r="C5" s="11">
        <v>318.78688946980708</v>
      </c>
      <c r="D5" s="10">
        <v>14190.657744826734</v>
      </c>
      <c r="E5" s="11">
        <v>861.86575412947116</v>
      </c>
      <c r="F5" s="10">
        <v>17337.960332616763</v>
      </c>
      <c r="G5" s="11">
        <v>1172.1243606242519</v>
      </c>
      <c r="H5" s="11">
        <v>455.10207647418588</v>
      </c>
      <c r="I5" s="11">
        <v>105.19334697026434</v>
      </c>
      <c r="J5" s="11">
        <v>1011.395013982676</v>
      </c>
      <c r="K5" s="11">
        <v>164.33854432027982</v>
      </c>
      <c r="L5" s="11">
        <v>681.09352763389109</v>
      </c>
      <c r="M5" s="11">
        <v>110.66891047978234</v>
      </c>
      <c r="N5" s="9">
        <v>330.30148634878492</v>
      </c>
      <c r="O5" s="11">
        <v>53.669633840641666</v>
      </c>
      <c r="P5" s="9">
        <v>225.99145115970521</v>
      </c>
      <c r="Q5" s="11">
        <v>35.409201538762041</v>
      </c>
    </row>
    <row r="6" spans="1:17">
      <c r="A6" s="4">
        <v>2009</v>
      </c>
      <c r="B6" s="11">
        <v>3242.6895075957659</v>
      </c>
      <c r="C6" s="11">
        <v>326.63803806223217</v>
      </c>
      <c r="D6" s="10">
        <v>14505.071952268083</v>
      </c>
      <c r="E6" s="11">
        <v>883.09195986725081</v>
      </c>
      <c r="F6" s="10">
        <v>17747.76145986385</v>
      </c>
      <c r="G6" s="11">
        <v>1200.9916786603465</v>
      </c>
      <c r="H6" s="11">
        <v>227.14991022908356</v>
      </c>
      <c r="I6" s="11">
        <v>107.78407019408216</v>
      </c>
      <c r="J6" s="11">
        <v>664.62426712572471</v>
      </c>
      <c r="K6" s="11">
        <v>168.38590753859546</v>
      </c>
      <c r="L6" s="11">
        <v>447.57126298669368</v>
      </c>
      <c r="M6" s="11">
        <v>113.39448699951826</v>
      </c>
      <c r="N6" s="9">
        <v>217.05300413903103</v>
      </c>
      <c r="O6" s="11">
        <v>54.991420539224926</v>
      </c>
      <c r="P6" s="9">
        <v>220.42135275761012</v>
      </c>
      <c r="Q6" s="11">
        <v>36.281266582849362</v>
      </c>
    </row>
    <row r="7" spans="1:17">
      <c r="A7" s="4">
        <v>2010</v>
      </c>
      <c r="B7" s="11">
        <v>3221.7258447343593</v>
      </c>
      <c r="C7" s="11">
        <v>330.63157849916763</v>
      </c>
      <c r="D7" s="10">
        <v>14796.457206355564</v>
      </c>
      <c r="E7" s="11">
        <v>893.88881461259598</v>
      </c>
      <c r="F7" s="10">
        <v>18018.183051089924</v>
      </c>
      <c r="G7" s="11">
        <v>1215.6752374448849</v>
      </c>
      <c r="H7" s="11">
        <v>228.43089288773061</v>
      </c>
      <c r="I7" s="11">
        <v>109.10185928359276</v>
      </c>
      <c r="J7" s="11">
        <v>614.80416653322095</v>
      </c>
      <c r="K7" s="11">
        <v>170.44462652538212</v>
      </c>
      <c r="L7" s="11">
        <v>414.02143674757025</v>
      </c>
      <c r="M7" s="11">
        <v>114.78087014045499</v>
      </c>
      <c r="N7" s="9">
        <v>200.7827297856507</v>
      </c>
      <c r="O7" s="11">
        <v>55.663756385076645</v>
      </c>
      <c r="P7" s="9">
        <v>185.59054385983967</v>
      </c>
      <c r="Q7" s="11">
        <v>36.72484843284272</v>
      </c>
    </row>
    <row r="8" spans="1:17">
      <c r="A8" s="4">
        <v>2011</v>
      </c>
      <c r="B8" s="11">
        <v>3306.2095838820414</v>
      </c>
      <c r="C8" s="11">
        <v>328.03345842081262</v>
      </c>
      <c r="D8" s="10">
        <v>15056.831888504921</v>
      </c>
      <c r="E8" s="11">
        <v>886.86458998286128</v>
      </c>
      <c r="F8" s="10">
        <v>18363.041472386962</v>
      </c>
      <c r="G8" s="11">
        <v>1206.1223984284131</v>
      </c>
      <c r="H8" s="11">
        <v>457.97124682557995</v>
      </c>
      <c r="I8" s="11">
        <v>108.24453121929452</v>
      </c>
      <c r="J8" s="11">
        <v>976.55518192887075</v>
      </c>
      <c r="K8" s="11">
        <v>169.10526381709673</v>
      </c>
      <c r="L8" s="11">
        <v>657.63208866204616</v>
      </c>
      <c r="M8" s="11">
        <v>113.87891611453692</v>
      </c>
      <c r="N8" s="9">
        <v>318.92309326682459</v>
      </c>
      <c r="O8" s="11">
        <v>55.226347702708175</v>
      </c>
      <c r="P8" s="9">
        <v>199.66084183646615</v>
      </c>
      <c r="Q8" s="11">
        <v>36.436262670644709</v>
      </c>
    </row>
    <row r="9" spans="1:17">
      <c r="A9" s="4">
        <v>2012</v>
      </c>
      <c r="B9" s="11">
        <v>3384.0659481040029</v>
      </c>
      <c r="C9" s="11">
        <v>328.40994363742794</v>
      </c>
      <c r="D9" s="10">
        <v>15348.066092699104</v>
      </c>
      <c r="E9" s="11">
        <v>887.88244776138038</v>
      </c>
      <c r="F9" s="10">
        <v>18732.132040803106</v>
      </c>
      <c r="G9" s="11">
        <v>1207.5066695775299</v>
      </c>
      <c r="H9" s="11">
        <v>243.42721741846961</v>
      </c>
      <c r="I9" s="11">
        <v>108.36876386915806</v>
      </c>
      <c r="J9" s="11">
        <v>676.81447679572773</v>
      </c>
      <c r="K9" s="11">
        <v>169.29934655544139</v>
      </c>
      <c r="L9" s="11">
        <v>455.78037123079741</v>
      </c>
      <c r="M9" s="11">
        <v>114.00961536883767</v>
      </c>
      <c r="N9" s="9">
        <v>221.03410556493031</v>
      </c>
      <c r="O9" s="11">
        <v>55.289731186752221</v>
      </c>
      <c r="P9" s="9">
        <v>212.35315381232783</v>
      </c>
      <c r="Q9" s="11">
        <v>36.478080704421657</v>
      </c>
    </row>
    <row r="10" spans="1:17">
      <c r="A10" s="4">
        <v>2013</v>
      </c>
      <c r="B10" s="11">
        <v>3433.3194239617001</v>
      </c>
      <c r="C10" s="11">
        <v>322.07226938429841</v>
      </c>
      <c r="D10" s="10">
        <v>15607.037347015297</v>
      </c>
      <c r="E10" s="11">
        <v>870.74804048169278</v>
      </c>
      <c r="F10" s="10">
        <v>19040.356770976996</v>
      </c>
      <c r="G10" s="11">
        <v>1184.2041354170156</v>
      </c>
      <c r="H10" s="11">
        <v>396.56646821804941</v>
      </c>
      <c r="I10" s="11">
        <v>106.27745714132253</v>
      </c>
      <c r="J10" s="11">
        <v>893.65684318445904</v>
      </c>
      <c r="K10" s="11">
        <v>166.03219788798003</v>
      </c>
      <c r="L10" s="11">
        <v>601.80636697000705</v>
      </c>
      <c r="M10" s="11">
        <v>111.80945115965038</v>
      </c>
      <c r="N10" s="9">
        <v>291.85047621445199</v>
      </c>
      <c r="O10" s="11">
        <v>54.2227467284753</v>
      </c>
      <c r="P10" s="9">
        <v>205.23989875195764</v>
      </c>
      <c r="Q10" s="11">
        <v>35.7741245747034</v>
      </c>
    </row>
    <row r="11" spans="1:17">
      <c r="A11" s="4">
        <v>2014</v>
      </c>
      <c r="B11" s="11">
        <v>3568.3538777931094</v>
      </c>
      <c r="C11" s="11">
        <v>327.18264586338233</v>
      </c>
      <c r="D11" s="10">
        <v>15931.128318729083</v>
      </c>
      <c r="E11" s="11">
        <v>884.56435044775355</v>
      </c>
      <c r="F11" s="10">
        <v>19499.482196522193</v>
      </c>
      <c r="G11" s="11">
        <v>1202.9941075299146</v>
      </c>
      <c r="H11" s="11">
        <v>392.67590770037964</v>
      </c>
      <c r="I11" s="11">
        <v>107.96377996032878</v>
      </c>
      <c r="J11" s="11">
        <v>924.72998658757672</v>
      </c>
      <c r="K11" s="11">
        <v>168.66665952753499</v>
      </c>
      <c r="L11" s="11">
        <v>622.73160840301955</v>
      </c>
      <c r="M11" s="11">
        <v>113.58355108584981</v>
      </c>
      <c r="N11" s="9">
        <v>301.99837818455717</v>
      </c>
      <c r="O11" s="11">
        <v>55.083108441833154</v>
      </c>
      <c r="P11" s="9">
        <v>230.05570070263991</v>
      </c>
      <c r="Q11" s="11">
        <v>36.341758805169363</v>
      </c>
    </row>
    <row r="12" spans="1:17">
      <c r="A12" s="4">
        <v>2015</v>
      </c>
      <c r="B12" s="11">
        <v>3753.2943153067213</v>
      </c>
      <c r="C12" s="11">
        <v>328.32624926956544</v>
      </c>
      <c r="D12" s="10">
        <v>16252.901471153657</v>
      </c>
      <c r="E12" s="11">
        <v>887.65617336975095</v>
      </c>
      <c r="F12" s="10">
        <v>20006.195786460379</v>
      </c>
      <c r="G12" s="11">
        <v>1207.198939834999</v>
      </c>
      <c r="H12" s="11">
        <v>565.48214658718496</v>
      </c>
      <c r="I12" s="11">
        <v>108.34114638873827</v>
      </c>
      <c r="J12" s="11">
        <v>1217.8633791044965</v>
      </c>
      <c r="K12" s="11">
        <v>169.2562010841668</v>
      </c>
      <c r="L12" s="11">
        <v>820.13378894943412</v>
      </c>
      <c r="M12" s="11">
        <v>113.98056033297958</v>
      </c>
      <c r="N12" s="9">
        <v>397.7295901550624</v>
      </c>
      <c r="O12" s="11">
        <v>55.275640751335708</v>
      </c>
      <c r="P12" s="9">
        <v>254.65164236224916</v>
      </c>
      <c r="Q12" s="11">
        <v>36.468784366218316</v>
      </c>
    </row>
    <row r="14" spans="1:17">
      <c r="B14" s="12"/>
      <c r="C14" s="12"/>
      <c r="D14" s="12"/>
      <c r="E14" s="12"/>
      <c r="F14" s="12"/>
      <c r="G14" s="12"/>
      <c r="H14" s="12"/>
    </row>
    <row r="15" spans="1:17">
      <c r="B15" s="12"/>
      <c r="C15" s="12"/>
      <c r="D15" s="12"/>
      <c r="E15" s="12"/>
      <c r="F15" s="12"/>
      <c r="G15" s="12"/>
      <c r="H15" s="12"/>
    </row>
    <row r="16" spans="1:17">
      <c r="B16" s="12"/>
      <c r="C16" s="12"/>
      <c r="D16" s="12"/>
      <c r="E16" s="12"/>
      <c r="F16" s="12"/>
      <c r="G16" s="12"/>
      <c r="H16" s="12"/>
    </row>
    <row r="17" spans="1:1">
      <c r="A17" s="12"/>
    </row>
    <row r="18" spans="1:1">
      <c r="A18" s="1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0"/>
  <sheetViews>
    <sheetView workbookViewId="0"/>
  </sheetViews>
  <sheetFormatPr defaultColWidth="8.75" defaultRowHeight="14.25"/>
  <cols>
    <col min="1" max="17" width="10.625" style="4" customWidth="1"/>
  </cols>
  <sheetData>
    <row r="1" spans="1:18">
      <c r="A1" s="4" t="s">
        <v>0</v>
      </c>
      <c r="B1" s="4" t="s">
        <v>1</v>
      </c>
      <c r="C1" s="4" t="s">
        <v>5</v>
      </c>
      <c r="D1" s="4" t="s">
        <v>2</v>
      </c>
      <c r="E1" s="4" t="s">
        <v>5</v>
      </c>
      <c r="F1" s="4" t="s">
        <v>4</v>
      </c>
      <c r="G1" s="4" t="s">
        <v>5</v>
      </c>
      <c r="H1" s="4" t="s">
        <v>3</v>
      </c>
      <c r="I1" s="5" t="s">
        <v>5</v>
      </c>
      <c r="J1" s="6" t="s">
        <v>7</v>
      </c>
      <c r="K1" s="5" t="s">
        <v>5</v>
      </c>
      <c r="L1" s="7" t="s">
        <v>6</v>
      </c>
      <c r="M1" s="5" t="s">
        <v>5</v>
      </c>
      <c r="N1" s="8" t="s">
        <v>8</v>
      </c>
      <c r="O1" s="5" t="s">
        <v>5</v>
      </c>
      <c r="P1" s="8" t="s">
        <v>9</v>
      </c>
      <c r="Q1" s="5" t="s">
        <v>5</v>
      </c>
    </row>
    <row r="2" spans="1:18">
      <c r="A2" s="4">
        <v>2008</v>
      </c>
      <c r="B2" s="11">
        <v>9217.9557556226355</v>
      </c>
      <c r="C2" s="11">
        <v>808.79897927950731</v>
      </c>
      <c r="D2" s="10">
        <v>13282.225061864872</v>
      </c>
      <c r="E2" s="11">
        <v>68.411020063752105</v>
      </c>
      <c r="F2" s="10">
        <v>22500.180817487508</v>
      </c>
      <c r="G2" s="11">
        <v>876.66049502487033</v>
      </c>
      <c r="H2" s="11">
        <v>346.95076495999882</v>
      </c>
      <c r="I2" s="11">
        <v>35.428615408293041</v>
      </c>
      <c r="J2" s="11">
        <v>1271.3451102339081</v>
      </c>
      <c r="K2" s="11">
        <v>93.390328717627</v>
      </c>
      <c r="L2" s="11">
        <v>838.502631269566</v>
      </c>
      <c r="M2" s="11">
        <v>61.594654020649571</v>
      </c>
      <c r="N2" s="9">
        <v>432.84247896434215</v>
      </c>
      <c r="O2" s="11">
        <v>31.79567469846009</v>
      </c>
      <c r="P2" s="9">
        <v>491.55186630956712</v>
      </c>
      <c r="Q2" s="11">
        <v>45.852679632209359</v>
      </c>
    </row>
    <row r="3" spans="1:18">
      <c r="A3" s="4">
        <v>2009</v>
      </c>
      <c r="B3" s="11">
        <v>9678.2775017195545</v>
      </c>
      <c r="C3" s="11">
        <v>813.79089406170942</v>
      </c>
      <c r="D3" s="10">
        <v>13311.03577609409</v>
      </c>
      <c r="E3" s="11">
        <v>68.833253512446589</v>
      </c>
      <c r="F3" s="10">
        <v>22989.313277813642</v>
      </c>
      <c r="G3" s="11">
        <v>882.07125171003031</v>
      </c>
      <c r="H3" s="11">
        <v>328.67375743971945</v>
      </c>
      <c r="I3" s="11">
        <v>35.647281150338316</v>
      </c>
      <c r="J3" s="11">
        <v>1328.5821853850582</v>
      </c>
      <c r="K3" s="11">
        <v>93.966734690413375</v>
      </c>
      <c r="L3" s="11">
        <v>876.25294172370377</v>
      </c>
      <c r="M3" s="11">
        <v>61.974816795068762</v>
      </c>
      <c r="N3" s="9">
        <v>452.32924366135444</v>
      </c>
      <c r="O3" s="11">
        <v>31.991917896836433</v>
      </c>
      <c r="P3" s="9">
        <v>547.57918428398432</v>
      </c>
      <c r="Q3" s="11">
        <v>46.135682795076235</v>
      </c>
    </row>
    <row r="4" spans="1:18">
      <c r="A4" s="4">
        <v>2010</v>
      </c>
      <c r="B4" s="11">
        <v>9919.8339627905334</v>
      </c>
      <c r="C4" s="11">
        <v>809.13214339005333</v>
      </c>
      <c r="D4" s="10">
        <v>13328.851006393968</v>
      </c>
      <c r="E4" s="11">
        <v>68.439200238597763</v>
      </c>
      <c r="F4" s="10">
        <v>23248.684969184502</v>
      </c>
      <c r="G4" s="11">
        <v>877.02161295597352</v>
      </c>
      <c r="H4" s="11">
        <v>370.70529449491733</v>
      </c>
      <c r="I4" s="11">
        <v>35.443209322779552</v>
      </c>
      <c r="J4" s="11">
        <v>1389.9045491380025</v>
      </c>
      <c r="K4" s="11">
        <v>93.42879848155836</v>
      </c>
      <c r="L4" s="11">
        <v>916.69739872242667</v>
      </c>
      <c r="M4" s="11">
        <v>61.620026367359827</v>
      </c>
      <c r="N4" s="9">
        <v>473.20715041557582</v>
      </c>
      <c r="O4" s="11">
        <v>31.808772115681808</v>
      </c>
      <c r="P4" s="9">
        <v>545.99210422750934</v>
      </c>
      <c r="Q4" s="11">
        <v>45.871567474080067</v>
      </c>
    </row>
    <row r="5" spans="1:18">
      <c r="A5" s="4">
        <v>2011</v>
      </c>
      <c r="B5" s="11">
        <v>10022.213002754379</v>
      </c>
      <c r="C5" s="11">
        <v>810.87571150459632</v>
      </c>
      <c r="D5" s="10">
        <v>13353.989285427739</v>
      </c>
      <c r="E5" s="11">
        <v>68.586677270990634</v>
      </c>
      <c r="F5" s="10">
        <v>23376.202288182118</v>
      </c>
      <c r="G5" s="11">
        <v>878.91147350916867</v>
      </c>
      <c r="H5" s="11">
        <v>380.38638281695597</v>
      </c>
      <c r="I5" s="11">
        <v>35.519584547960143</v>
      </c>
      <c r="J5" s="11">
        <v>1469.9937926479881</v>
      </c>
      <c r="K5" s="11">
        <v>93.630124649778551</v>
      </c>
      <c r="L5" s="11">
        <v>969.5199682889222</v>
      </c>
      <c r="M5" s="11">
        <v>61.752809021057516</v>
      </c>
      <c r="N5" s="9">
        <v>500.47382435906593</v>
      </c>
      <c r="O5" s="11">
        <v>31.877315630207509</v>
      </c>
      <c r="P5" s="9">
        <v>589.13358547196617</v>
      </c>
      <c r="Q5" s="11">
        <v>45.970414372037695</v>
      </c>
    </row>
    <row r="6" spans="1:18">
      <c r="A6" s="4">
        <v>2012</v>
      </c>
      <c r="B6" s="11">
        <v>10340.905839136341</v>
      </c>
      <c r="C6" s="11">
        <v>819.35455674309992</v>
      </c>
      <c r="D6" s="10">
        <v>13388.678053270572</v>
      </c>
      <c r="E6" s="11">
        <v>69.303847379495764</v>
      </c>
      <c r="F6" s="10">
        <v>23729.583892406914</v>
      </c>
      <c r="G6" s="11">
        <v>888.10172826276312</v>
      </c>
      <c r="H6" s="11">
        <v>369.57845666663815</v>
      </c>
      <c r="I6" s="11">
        <v>35.89099172669939</v>
      </c>
      <c r="J6" s="11">
        <v>1372.8018920617631</v>
      </c>
      <c r="K6" s="11">
        <v>94.6091591988517</v>
      </c>
      <c r="L6" s="11">
        <v>905.41805838893652</v>
      </c>
      <c r="M6" s="11">
        <v>62.398521432101226</v>
      </c>
      <c r="N6" s="9">
        <v>467.38383367282654</v>
      </c>
      <c r="O6" s="11">
        <v>32.210637768252496</v>
      </c>
      <c r="P6" s="9">
        <v>535.83960172229831</v>
      </c>
      <c r="Q6" s="11">
        <v>46.451099665086062</v>
      </c>
    </row>
    <row r="7" spans="1:18">
      <c r="A7" s="4">
        <v>2013</v>
      </c>
      <c r="B7" s="11">
        <v>10832.465127735171</v>
      </c>
      <c r="C7" s="11">
        <v>811.55242528053759</v>
      </c>
      <c r="D7" s="10">
        <v>13400.714729271614</v>
      </c>
      <c r="E7" s="11">
        <v>68.643916066895855</v>
      </c>
      <c r="F7" s="10">
        <v>24233.179857006784</v>
      </c>
      <c r="G7" s="11">
        <v>879.64496631641134</v>
      </c>
      <c r="H7" s="11">
        <v>369.42162055108003</v>
      </c>
      <c r="I7" s="11">
        <v>35.549227305584139</v>
      </c>
      <c r="J7" s="11">
        <v>1456.584020809649</v>
      </c>
      <c r="K7" s="11">
        <v>93.708263375966354</v>
      </c>
      <c r="L7" s="11">
        <v>960.67528258960397</v>
      </c>
      <c r="M7" s="11">
        <v>61.804344633697923</v>
      </c>
      <c r="N7" s="9">
        <v>495.90873822004505</v>
      </c>
      <c r="O7" s="11">
        <v>31.903918743756144</v>
      </c>
      <c r="P7" s="9">
        <v>591.253662038524</v>
      </c>
      <c r="Q7" s="11">
        <v>46.008778836837806</v>
      </c>
    </row>
    <row r="8" spans="1:18">
      <c r="A8" s="4">
        <v>2014</v>
      </c>
      <c r="B8" s="11">
        <v>11291.683544364398</v>
      </c>
      <c r="C8" s="11">
        <v>826.35916660330599</v>
      </c>
      <c r="D8" s="10">
        <v>13456.233629983823</v>
      </c>
      <c r="E8" s="11">
        <v>69.896321551646892</v>
      </c>
      <c r="F8" s="10">
        <v>24747.917174348222</v>
      </c>
      <c r="G8" s="11">
        <v>895.69405330869051</v>
      </c>
      <c r="H8" s="11">
        <v>268.45950617526273</v>
      </c>
      <c r="I8" s="11">
        <v>36.19782152641482</v>
      </c>
      <c r="J8" s="11">
        <v>1286.7329901914602</v>
      </c>
      <c r="K8" s="11">
        <v>95.417966868176549</v>
      </c>
      <c r="L8" s="11">
        <v>848.65172266484603</v>
      </c>
      <c r="M8" s="11">
        <v>62.931962413039855</v>
      </c>
      <c r="N8" s="9">
        <v>438.08126752661417</v>
      </c>
      <c r="O8" s="11">
        <v>32.486004456651557</v>
      </c>
      <c r="P8" s="9">
        <v>580.1922164895833</v>
      </c>
      <c r="Q8" s="11">
        <v>46.848207154211174</v>
      </c>
    </row>
    <row r="9" spans="1:18">
      <c r="A9" s="4">
        <v>2015</v>
      </c>
      <c r="B9" s="11">
        <v>11746.087750428367</v>
      </c>
      <c r="C9" s="11">
        <v>825.57950447164194</v>
      </c>
      <c r="D9" s="10">
        <v>13492.024047001541</v>
      </c>
      <c r="E9" s="11">
        <v>69.830375027110321</v>
      </c>
      <c r="F9" s="10">
        <v>25238.111797429909</v>
      </c>
      <c r="G9" s="11">
        <v>894.84897436100732</v>
      </c>
      <c r="H9" s="11">
        <v>373.25054746820263</v>
      </c>
      <c r="I9" s="11">
        <v>36.163669220936221</v>
      </c>
      <c r="J9" s="11">
        <v>1557.9080411838722</v>
      </c>
      <c r="K9" s="11">
        <v>95.327940910392016</v>
      </c>
      <c r="L9" s="11">
        <v>1027.5022290818031</v>
      </c>
      <c r="M9" s="11">
        <v>62.872586696102587</v>
      </c>
      <c r="N9" s="9">
        <v>530.40581210206915</v>
      </c>
      <c r="O9" s="11">
        <v>32.455354215802856</v>
      </c>
      <c r="P9" s="9">
        <v>654.25168161360057</v>
      </c>
      <c r="Q9" s="11">
        <v>46.804006309674499</v>
      </c>
    </row>
    <row r="10" spans="1:18">
      <c r="B10" s="5"/>
      <c r="C10" s="7"/>
      <c r="D10" s="5"/>
      <c r="E10" s="7"/>
      <c r="F10" s="5"/>
      <c r="G10" s="5"/>
      <c r="H10" s="5"/>
      <c r="J10" s="5"/>
      <c r="L10" s="5"/>
      <c r="N10" s="5"/>
      <c r="P10" s="5"/>
    </row>
    <row r="11" spans="1:18">
      <c r="B11" s="23"/>
      <c r="C11" s="23"/>
      <c r="D11" s="23"/>
      <c r="E11" s="23"/>
      <c r="F11" s="23"/>
      <c r="G11" s="23"/>
      <c r="H11" s="23"/>
    </row>
    <row r="12" spans="1:18">
      <c r="B12" s="24"/>
      <c r="C12" s="24"/>
      <c r="D12" s="24"/>
      <c r="E12" s="24"/>
      <c r="F12" s="24"/>
      <c r="G12" s="24"/>
      <c r="H12" s="24"/>
      <c r="Q12" s="5"/>
      <c r="R12" s="1"/>
    </row>
    <row r="13" spans="1:18">
      <c r="B13" s="24"/>
      <c r="C13" s="24"/>
      <c r="D13" s="24"/>
      <c r="E13" s="24"/>
      <c r="F13" s="24"/>
      <c r="G13" s="24"/>
      <c r="H13" s="24"/>
    </row>
    <row r="14" spans="1:18">
      <c r="A14" s="12"/>
    </row>
    <row r="15" spans="1:18">
      <c r="A15" s="12"/>
    </row>
    <row r="16" spans="1:18">
      <c r="B16" s="25"/>
      <c r="C16" s="25"/>
      <c r="D16" s="25"/>
      <c r="E16" s="25"/>
      <c r="F16" s="25"/>
      <c r="G16" s="25"/>
      <c r="H16" s="25"/>
      <c r="O16" s="5"/>
      <c r="P16" s="5"/>
      <c r="Q16" s="5"/>
      <c r="R16" s="1"/>
    </row>
    <row r="20" spans="15:18">
      <c r="O20" s="5"/>
      <c r="P20" s="5"/>
      <c r="Q20" s="5"/>
      <c r="R20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8"/>
  <sheetViews>
    <sheetView workbookViewId="0"/>
  </sheetViews>
  <sheetFormatPr defaultColWidth="8.75" defaultRowHeight="14.25"/>
  <cols>
    <col min="1" max="17" width="10.625" style="4" customWidth="1"/>
  </cols>
  <sheetData>
    <row r="1" spans="1:17">
      <c r="A1" s="4" t="s">
        <v>0</v>
      </c>
      <c r="B1" s="4" t="s">
        <v>1</v>
      </c>
      <c r="C1" s="4" t="s">
        <v>5</v>
      </c>
      <c r="D1" s="4" t="s">
        <v>2</v>
      </c>
      <c r="E1" s="4" t="s">
        <v>5</v>
      </c>
      <c r="F1" s="4" t="s">
        <v>4</v>
      </c>
      <c r="G1" s="4" t="s">
        <v>5</v>
      </c>
      <c r="H1" s="4" t="s">
        <v>3</v>
      </c>
      <c r="I1" s="5" t="s">
        <v>5</v>
      </c>
      <c r="J1" s="6" t="s">
        <v>7</v>
      </c>
      <c r="K1" s="5" t="s">
        <v>5</v>
      </c>
      <c r="L1" s="7" t="s">
        <v>6</v>
      </c>
      <c r="M1" s="5" t="s">
        <v>5</v>
      </c>
      <c r="N1" s="8" t="s">
        <v>8</v>
      </c>
      <c r="O1" s="5" t="s">
        <v>5</v>
      </c>
      <c r="P1" s="8" t="s">
        <v>9</v>
      </c>
      <c r="Q1" s="5" t="s">
        <v>5</v>
      </c>
    </row>
    <row r="2" spans="1:17">
      <c r="A2" s="4">
        <v>2005</v>
      </c>
      <c r="B2" s="11">
        <v>4529.2259973244354</v>
      </c>
      <c r="C2" s="11">
        <v>1102.5132938769243</v>
      </c>
      <c r="D2" s="10">
        <v>6000.6933716570547</v>
      </c>
      <c r="E2" s="11">
        <v>511.59273190843709</v>
      </c>
      <c r="F2" s="10">
        <v>10529.919368981489</v>
      </c>
      <c r="G2" s="11">
        <v>1602.8001056481703</v>
      </c>
      <c r="H2" s="11">
        <v>404.93289604791033</v>
      </c>
      <c r="I2" s="11">
        <v>105.86424748155322</v>
      </c>
      <c r="J2" s="11">
        <v>1706.7390420507727</v>
      </c>
      <c r="K2" s="11">
        <v>257.05387666909178</v>
      </c>
      <c r="L2" s="11">
        <v>688.34497951290359</v>
      </c>
      <c r="M2" s="11">
        <v>103.67240044147569</v>
      </c>
      <c r="N2" s="9">
        <v>1018.3940625378691</v>
      </c>
      <c r="O2" s="11">
        <v>153.38147622772885</v>
      </c>
      <c r="P2" s="9">
        <v>283.4120834649932</v>
      </c>
      <c r="Q2" s="11">
        <v>24.695637849313393</v>
      </c>
    </row>
    <row r="3" spans="1:17">
      <c r="A3" s="4">
        <v>2006</v>
      </c>
      <c r="B3" s="11">
        <v>5047.8159570808775</v>
      </c>
      <c r="C3" s="11">
        <v>1123.1281494604532</v>
      </c>
      <c r="D3" s="10">
        <v>6185.6665437931015</v>
      </c>
      <c r="E3" s="11">
        <v>521.15852158593805</v>
      </c>
      <c r="F3" s="10">
        <v>11233.482500873979</v>
      </c>
      <c r="G3" s="11">
        <v>1632.769352178535</v>
      </c>
      <c r="H3" s="11">
        <v>528.20168659954197</v>
      </c>
      <c r="I3" s="11">
        <v>107.84370313565874</v>
      </c>
      <c r="J3" s="11">
        <v>2016.5282883421723</v>
      </c>
      <c r="K3" s="11">
        <v>261.86028451392195</v>
      </c>
      <c r="L3" s="11">
        <v>813.28580240532267</v>
      </c>
      <c r="M3" s="11">
        <v>105.61087281633793</v>
      </c>
      <c r="N3" s="9">
        <v>1203.2424859368498</v>
      </c>
      <c r="O3" s="11">
        <v>156.24941169769889</v>
      </c>
      <c r="P3" s="9">
        <v>285.08411580578058</v>
      </c>
      <c r="Q3" s="11">
        <v>25.157398274910182</v>
      </c>
    </row>
    <row r="4" spans="1:17">
      <c r="A4" s="4">
        <v>2007</v>
      </c>
      <c r="B4" s="11">
        <v>5343.0082324953246</v>
      </c>
      <c r="C4" s="11">
        <v>1094.9010013286045</v>
      </c>
      <c r="D4" s="10">
        <v>6108.6116975710156</v>
      </c>
      <c r="E4" s="11">
        <v>508.06044475824166</v>
      </c>
      <c r="F4" s="10">
        <v>11451.619930066339</v>
      </c>
      <c r="G4" s="11">
        <v>1591.7335875676783</v>
      </c>
      <c r="H4" s="11">
        <v>448.82485887154741</v>
      </c>
      <c r="I4" s="11">
        <v>105.13330879200372</v>
      </c>
      <c r="J4" s="11">
        <v>1830.5460022815471</v>
      </c>
      <c r="K4" s="11">
        <v>255.27905062322711</v>
      </c>
      <c r="L4" s="11">
        <v>738.27738480285882</v>
      </c>
      <c r="M4" s="11">
        <v>102.95659533896128</v>
      </c>
      <c r="N4" s="9">
        <v>1092.2686174786882</v>
      </c>
      <c r="O4" s="11">
        <v>152.32245528437781</v>
      </c>
      <c r="P4" s="9">
        <v>289.45252593131158</v>
      </c>
      <c r="Q4" s="11">
        <v>24.525127052735808</v>
      </c>
    </row>
    <row r="5" spans="1:17">
      <c r="A5" s="4">
        <v>2008</v>
      </c>
      <c r="B5" s="11">
        <v>5602.0109885799275</v>
      </c>
      <c r="C5" s="11">
        <v>1084.3695552902007</v>
      </c>
      <c r="D5" s="10">
        <v>6140.3322627484204</v>
      </c>
      <c r="E5" s="11">
        <v>503.17360005563728</v>
      </c>
      <c r="F5" s="10">
        <v>11742.343251328348</v>
      </c>
      <c r="G5" s="11">
        <v>1576.4232934272559</v>
      </c>
      <c r="H5" s="11">
        <v>423.22922356589709</v>
      </c>
      <c r="I5" s="11">
        <v>104.12207054577112</v>
      </c>
      <c r="J5" s="11">
        <v>1761.244484638956</v>
      </c>
      <c r="K5" s="11">
        <v>252.82361625691343</v>
      </c>
      <c r="L5" s="11">
        <v>710.32763890503782</v>
      </c>
      <c r="M5" s="11">
        <v>101.96629409090841</v>
      </c>
      <c r="N5" s="9">
        <v>1050.9168457339183</v>
      </c>
      <c r="O5" s="11">
        <v>150.85732216611595</v>
      </c>
      <c r="P5" s="9">
        <v>287.0984153391405</v>
      </c>
      <c r="Q5" s="11">
        <v>24.289228965303728</v>
      </c>
    </row>
    <row r="6" spans="1:17">
      <c r="A6" s="4">
        <v>2009</v>
      </c>
      <c r="B6" s="11">
        <v>6436.7401026189555</v>
      </c>
      <c r="C6" s="11">
        <v>1146.9164215260957</v>
      </c>
      <c r="D6" s="10">
        <v>6600.914897493858</v>
      </c>
      <c r="E6" s="11">
        <v>532.19685297026854</v>
      </c>
      <c r="F6" s="10">
        <v>13037.655000112813</v>
      </c>
      <c r="G6" s="11">
        <v>1667.3520145298658</v>
      </c>
      <c r="H6" s="11">
        <v>781.30327515888143</v>
      </c>
      <c r="I6" s="11">
        <v>110.12787289134499</v>
      </c>
      <c r="J6" s="11">
        <v>2716.1289405306284</v>
      </c>
      <c r="K6" s="11">
        <v>267.40658276510209</v>
      </c>
      <c r="L6" s="11">
        <v>1095.4420958643852</v>
      </c>
      <c r="M6" s="11">
        <v>107.84775039513598</v>
      </c>
      <c r="N6" s="9">
        <v>1620.6868446662431</v>
      </c>
      <c r="O6" s="11">
        <v>159.55883237008345</v>
      </c>
      <c r="P6" s="9">
        <v>314.1388207055038</v>
      </c>
      <c r="Q6" s="11">
        <v>25.690241330188229</v>
      </c>
    </row>
    <row r="7" spans="1:17">
      <c r="A7" s="4">
        <v>2010</v>
      </c>
      <c r="B7" s="11">
        <v>6953.0970925500924</v>
      </c>
      <c r="C7" s="11">
        <v>1156.5483924175799</v>
      </c>
      <c r="D7" s="10">
        <v>6788.1131387423193</v>
      </c>
      <c r="E7" s="11">
        <v>536.66631953307899</v>
      </c>
      <c r="F7" s="10">
        <v>13741.210231292411</v>
      </c>
      <c r="G7" s="11">
        <v>1681.3546792126501</v>
      </c>
      <c r="H7" s="11">
        <v>511.43941692688622</v>
      </c>
      <c r="I7" s="11">
        <v>111.05274278257826</v>
      </c>
      <c r="J7" s="11">
        <v>2050.8904518307686</v>
      </c>
      <c r="K7" s="11">
        <v>269.65230213317733</v>
      </c>
      <c r="L7" s="11">
        <v>827.14460270528718</v>
      </c>
      <c r="M7" s="11">
        <v>108.75347148607281</v>
      </c>
      <c r="N7" s="9">
        <v>1223.7458491254815</v>
      </c>
      <c r="O7" s="11">
        <v>160.89883064722281</v>
      </c>
      <c r="P7" s="9">
        <v>315.70518577840085</v>
      </c>
      <c r="Q7" s="11">
        <v>25.905991712729897</v>
      </c>
    </row>
    <row r="8" spans="1:17">
      <c r="A8" s="4">
        <v>2011</v>
      </c>
      <c r="B8" s="11">
        <v>7128.2939899888333</v>
      </c>
      <c r="C8" s="11">
        <v>1140.6300779492301</v>
      </c>
      <c r="D8" s="10">
        <v>6846.6580830948624</v>
      </c>
      <c r="E8" s="11">
        <v>529.27983808975421</v>
      </c>
      <c r="F8" s="10">
        <v>13974.952073083696</v>
      </c>
      <c r="G8" s="11">
        <v>1658.2131205091775</v>
      </c>
      <c r="H8" s="11">
        <v>412.15722165100533</v>
      </c>
      <c r="I8" s="11">
        <v>109.52425292968884</v>
      </c>
      <c r="J8" s="11">
        <v>1801.4775878927596</v>
      </c>
      <c r="K8" s="11">
        <v>265.94090521229469</v>
      </c>
      <c r="L8" s="11">
        <v>726.55401465525404</v>
      </c>
      <c r="M8" s="11">
        <v>107.2566279730908</v>
      </c>
      <c r="N8" s="9">
        <v>1074.9235732375055</v>
      </c>
      <c r="O8" s="11">
        <v>158.68427723932055</v>
      </c>
      <c r="P8" s="9">
        <v>314.39679300424882</v>
      </c>
      <c r="Q8" s="11">
        <v>25.549430996895357</v>
      </c>
    </row>
    <row r="9" spans="1:17">
      <c r="A9" s="4">
        <v>2012</v>
      </c>
      <c r="B9" s="11">
        <v>7466.7450839042895</v>
      </c>
      <c r="C9" s="11">
        <v>1156.8700942189146</v>
      </c>
      <c r="D9" s="10">
        <v>7111.0951444966577</v>
      </c>
      <c r="E9" s="11">
        <v>536.81559691986308</v>
      </c>
      <c r="F9" s="10">
        <v>14577.840228400946</v>
      </c>
      <c r="G9" s="11">
        <v>1681.8223594519998</v>
      </c>
      <c r="H9" s="11">
        <v>469.69691373316203</v>
      </c>
      <c r="I9" s="11">
        <v>111.08363285828158</v>
      </c>
      <c r="J9" s="11">
        <v>1962.8571005199888</v>
      </c>
      <c r="K9" s="11">
        <v>269.72730775499048</v>
      </c>
      <c r="L9" s="11">
        <v>791.63998316621178</v>
      </c>
      <c r="M9" s="11">
        <v>108.78372200382705</v>
      </c>
      <c r="N9" s="9">
        <v>1171.217117353777</v>
      </c>
      <c r="O9" s="11">
        <v>160.94358575128177</v>
      </c>
      <c r="P9" s="9">
        <v>321.94306943304969</v>
      </c>
      <c r="Q9" s="11">
        <v>25.913197640518121</v>
      </c>
    </row>
    <row r="10" spans="1:17">
      <c r="A10" s="4">
        <v>2013</v>
      </c>
      <c r="B10" s="11">
        <v>7441.6243888629997</v>
      </c>
      <c r="C10" s="11">
        <v>1116.6855768871189</v>
      </c>
      <c r="D10" s="10">
        <v>7030.7358624070393</v>
      </c>
      <c r="E10" s="11">
        <v>518.16901268693846</v>
      </c>
      <c r="F10" s="10">
        <v>14472.360251270038</v>
      </c>
      <c r="G10" s="11">
        <v>1623.4033372211327</v>
      </c>
      <c r="H10" s="11">
        <v>330.28293219455207</v>
      </c>
      <c r="I10" s="11">
        <v>107.2250819352531</v>
      </c>
      <c r="J10" s="11">
        <v>1665.6309997535832</v>
      </c>
      <c r="K10" s="11">
        <v>260.35818175933838</v>
      </c>
      <c r="L10" s="11">
        <v>671.7657484557019</v>
      </c>
      <c r="M10" s="11">
        <v>105.00505974596008</v>
      </c>
      <c r="N10" s="9">
        <v>993.86525129788129</v>
      </c>
      <c r="O10" s="11">
        <v>155.35312201349248</v>
      </c>
      <c r="P10" s="9">
        <v>341.48281626114976</v>
      </c>
      <c r="Q10" s="11">
        <v>25.013088505610707</v>
      </c>
    </row>
    <row r="11" spans="1:17">
      <c r="A11" s="4">
        <v>2014</v>
      </c>
      <c r="B11" s="11">
        <v>7782.1696959415049</v>
      </c>
      <c r="C11" s="11">
        <v>1144.8094313763886</v>
      </c>
      <c r="D11" s="10">
        <v>7378.9803042291769</v>
      </c>
      <c r="E11" s="11">
        <v>531.21915877575918</v>
      </c>
      <c r="F11" s="10">
        <v>15161.150000170681</v>
      </c>
      <c r="G11" s="11">
        <v>1664.288936693702</v>
      </c>
      <c r="H11" s="11">
        <v>382.94894210778921</v>
      </c>
      <c r="I11" s="11">
        <v>109.92555793705957</v>
      </c>
      <c r="J11" s="11">
        <v>1835.2957200992851</v>
      </c>
      <c r="K11" s="11">
        <v>266.91533246536079</v>
      </c>
      <c r="L11" s="11">
        <v>740.19320660922619</v>
      </c>
      <c r="M11" s="11">
        <v>107.6496242339914</v>
      </c>
      <c r="N11" s="9">
        <v>1095.1025134900588</v>
      </c>
      <c r="O11" s="11">
        <v>159.26570823148649</v>
      </c>
      <c r="P11" s="9">
        <v>357.2442645014371</v>
      </c>
      <c r="Q11" s="11">
        <v>25.64304601201999</v>
      </c>
    </row>
    <row r="12" spans="1:17">
      <c r="A12" s="4">
        <v>2015</v>
      </c>
      <c r="B12" s="11">
        <v>8234.6858264236598</v>
      </c>
      <c r="C12" s="11">
        <v>1173.1326266472227</v>
      </c>
      <c r="D12" s="10">
        <v>7740.1694698319216</v>
      </c>
      <c r="E12" s="11">
        <v>544.3618037900693</v>
      </c>
      <c r="F12" s="10">
        <v>15974.85529625558</v>
      </c>
      <c r="G12" s="11">
        <v>1705.4643316975598</v>
      </c>
      <c r="H12" s="11">
        <v>439.85895803354248</v>
      </c>
      <c r="I12" s="11">
        <v>112.64517480723461</v>
      </c>
      <c r="J12" s="11">
        <v>1975.8362818904084</v>
      </c>
      <c r="K12" s="11">
        <v>273.51895999933987</v>
      </c>
      <c r="L12" s="11">
        <v>796.87433927142001</v>
      </c>
      <c r="M12" s="11">
        <v>110.31293329176664</v>
      </c>
      <c r="N12" s="9">
        <v>1178.9619426189884</v>
      </c>
      <c r="O12" s="11">
        <v>163.20602670769321</v>
      </c>
      <c r="P12" s="9">
        <v>357.01538123787759</v>
      </c>
      <c r="Q12" s="11">
        <v>26.277468632616515</v>
      </c>
    </row>
    <row r="14" spans="1:17">
      <c r="B14" s="12"/>
      <c r="C14" s="12"/>
      <c r="D14" s="12"/>
      <c r="E14" s="12"/>
      <c r="F14" s="12"/>
      <c r="G14" s="12"/>
      <c r="H14" s="12"/>
    </row>
    <row r="15" spans="1:17">
      <c r="B15" s="12"/>
      <c r="C15" s="12"/>
      <c r="D15" s="12"/>
      <c r="E15" s="12"/>
      <c r="F15" s="12"/>
      <c r="G15" s="12"/>
      <c r="H15" s="12"/>
    </row>
    <row r="16" spans="1:17">
      <c r="B16" s="12"/>
      <c r="C16" s="12"/>
      <c r="D16" s="12"/>
      <c r="E16" s="12"/>
      <c r="F16" s="12"/>
      <c r="G16" s="12"/>
      <c r="H16" s="12"/>
    </row>
    <row r="17" spans="1:1">
      <c r="A17" s="12"/>
    </row>
    <row r="18" spans="1:1">
      <c r="A18" s="12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ALF</vt:lpstr>
      <vt:lpstr>BJF</vt:lpstr>
      <vt:lpstr>BNF</vt:lpstr>
      <vt:lpstr>CBF</vt:lpstr>
      <vt:lpstr>DHF</vt:lpstr>
      <vt:lpstr>HTF</vt:lpstr>
      <vt:lpstr>HSF</vt:lpstr>
      <vt:lpstr>MXF</vt:lpstr>
      <vt:lpstr>SNF</vt:lpstr>
      <vt:lpstr>QYF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</dc:creator>
  <cp:lastModifiedBy>Ge Rong</cp:lastModifiedBy>
  <dcterms:created xsi:type="dcterms:W3CDTF">2018-03-08T06:55:50Z</dcterms:created>
  <dcterms:modified xsi:type="dcterms:W3CDTF">2020-12-21T16:17:50Z</dcterms:modified>
</cp:coreProperties>
</file>