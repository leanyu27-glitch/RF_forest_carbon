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7"/>
  <workbookPr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observation-based basic element dataset\"/>
    </mc:Choice>
  </mc:AlternateContent>
  <xr:revisionPtr revIDLastSave="0" documentId="13_ncr:1_{C8D8F074-8D81-4C7F-8665-F0C6EAC85183}" xr6:coauthVersionLast="36" xr6:coauthVersionMax="36" xr10:uidLastSave="{00000000-0000-0000-0000-000000000000}"/>
  <bookViews>
    <workbookView xWindow="0" yWindow="0" windowWidth="28800" windowHeight="12540" xr2:uid="{00000000-000D-0000-FFFF-FFFF00000000}"/>
  </bookViews>
  <sheets>
    <sheet name="biomass" sheetId="1" r:id="rId1"/>
  </sheets>
  <externalReferences>
    <externalReference r:id="rId2"/>
  </externalReferences>
  <definedNames>
    <definedName name="样地代码2">OFFSET([1]forest_plot!$E$1,MATCH([1]FB02!XFA1,[1]forest_plot!$C:$C,0)-1,,COUNTIF([1]forest_plot!$C:$C,[1]FB02!$A1))</definedName>
  </definedNames>
  <calcPr calcId="191029"/>
</workbook>
</file>

<file path=xl/calcChain.xml><?xml version="1.0" encoding="utf-8"?>
<calcChain xmlns="http://schemas.openxmlformats.org/spreadsheetml/2006/main">
  <c r="E40" i="1" l="1"/>
  <c r="E39" i="1"/>
  <c r="E36" i="1"/>
  <c r="E35" i="1"/>
  <c r="E34" i="1"/>
  <c r="O33" i="1"/>
  <c r="O32" i="1"/>
  <c r="O31" i="1"/>
  <c r="O30" i="1"/>
  <c r="O29" i="1"/>
  <c r="O28" i="1"/>
  <c r="O27" i="1"/>
  <c r="O26" i="1"/>
  <c r="O25" i="1"/>
  <c r="O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<sst xmlns="http://schemas.openxmlformats.org/spreadsheetml/2006/main" count="56" uniqueCount="27">
  <si>
    <t>site_code</t>
  </si>
  <si>
    <t>year</t>
  </si>
  <si>
    <t>month</t>
  </si>
  <si>
    <t>biomass(g C m-2)</t>
  </si>
  <si>
    <t>biomass_std (g C m-2)</t>
  </si>
  <si>
    <t>stem_biomass(g C m-2)</t>
  </si>
  <si>
    <t>stem_biomass_std(g C m-2)</t>
  </si>
  <si>
    <t>branch_biomass(g C m-2)</t>
  </si>
  <si>
    <t>branch_biomass_std (g C m-2)</t>
  </si>
  <si>
    <t>leaf_biomass(g C m-2)</t>
  </si>
  <si>
    <t>leaf_biomass_std (g C m-2)</t>
  </si>
  <si>
    <t>fruit_biomass (g C m-2)</t>
  </si>
  <si>
    <t>fruit_biomass_std (g C m-2)</t>
  </si>
  <si>
    <t>bark_biomass(g C m-2)</t>
  </si>
  <si>
    <t>bark_biomass_std (g C m-2)</t>
  </si>
  <si>
    <t>root_biomass(g C m-2)</t>
  </si>
  <si>
    <t>root_biomass_std(g C m-2)</t>
  </si>
  <si>
    <t>ALF</t>
  </si>
  <si>
    <t>BJF</t>
  </si>
  <si>
    <t>BNF</t>
  </si>
  <si>
    <t>CBF</t>
  </si>
  <si>
    <t>DHF</t>
  </si>
  <si>
    <t>HSF</t>
  </si>
  <si>
    <t>HTF</t>
  </si>
  <si>
    <t>MXF</t>
  </si>
  <si>
    <t>QYF</t>
  </si>
  <si>
    <t>SNF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</si>
</sst>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5" fillId="0" borderId="0"/>
    <xf numFmtId="0" fontId="7" fillId="0" borderId="0">
      <alignment vertical="center"/>
    </xf>
    <xf numFmtId="0" fontId="6" fillId="0" borderId="0"/>
    <xf numFmtId="0" fontId="5" fillId="0" borderId="0"/>
    <xf numFmtId="0" fontId="4" fillId="0" borderId="0"/>
    <xf numFmtId="0" fontId="3" fillId="0" borderId="0">
      <alignment vertical="center"/>
    </xf>
    <xf numFmtId="0" fontId="5" fillId="0" borderId="0"/>
    <xf numFmtId="0" fontId="4" fillId="0" borderId="0"/>
  </cellStyleXfs>
  <cellXfs count="1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9" fillId="0" borderId="1" xfId="0" applyFont="1" applyBorder="1" applyAlignment="1">
      <alignment vertical="center" wrapText="1"/>
    </xf>
    <xf numFmtId="176" fontId="10" fillId="0" borderId="1" xfId="0" applyNumberFormat="1" applyFont="1" applyBorder="1" applyAlignment="1">
      <alignment vertical="center" wrapText="1"/>
    </xf>
    <xf numFmtId="0" fontId="11" fillId="0" borderId="0" xfId="0" applyFont="1" applyBorder="1" applyAlignment="1">
      <alignment horizontal="left" vertical="center"/>
    </xf>
    <xf numFmtId="176" fontId="12" fillId="0" borderId="0" xfId="0" applyNumberFormat="1" applyFont="1" applyBorder="1">
      <alignment vertical="center"/>
    </xf>
    <xf numFmtId="176" fontId="11" fillId="0" borderId="0" xfId="0" applyNumberFormat="1" applyFont="1" applyBorder="1">
      <alignment vertical="center"/>
    </xf>
    <xf numFmtId="176" fontId="11" fillId="0" borderId="0" xfId="0" applyNumberFormat="1" applyFont="1" applyAlignment="1"/>
    <xf numFmtId="0" fontId="11" fillId="0" borderId="0" xfId="0" applyFont="1" applyAlignment="1">
      <alignment horizontal="left" vertical="center"/>
    </xf>
    <xf numFmtId="176" fontId="12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176" fontId="13" fillId="0" borderId="0" xfId="0" applyNumberFormat="1" applyFont="1" applyAlignment="1"/>
    <xf numFmtId="0" fontId="11" fillId="0" borderId="0" xfId="0" applyFont="1" applyFill="1" applyAlignment="1">
      <alignment horizontal="left" vertical="center"/>
    </xf>
    <xf numFmtId="176" fontId="12" fillId="0" borderId="0" xfId="0" applyNumberFormat="1" applyFont="1" applyFill="1">
      <alignment vertical="center"/>
    </xf>
    <xf numFmtId="0" fontId="12" fillId="0" borderId="0" xfId="0" applyFont="1" applyAlignment="1">
      <alignment horizontal="left" vertical="center"/>
    </xf>
    <xf numFmtId="176" fontId="12" fillId="0" borderId="0" xfId="0" applyNumberFormat="1" applyFont="1" applyAlignment="1"/>
    <xf numFmtId="0" fontId="11" fillId="0" borderId="0" xfId="0" applyFont="1">
      <alignment vertical="center"/>
    </xf>
  </cellXfs>
  <cellStyles count="9">
    <cellStyle name="常规" xfId="0" builtinId="0"/>
    <cellStyle name="常规 2" xfId="5" xr:uid="{00000000-0005-0000-0000-000035000000}"/>
    <cellStyle name="常规 2 2" xfId="3" xr:uid="{00000000-0005-0000-0000-00002E000000}"/>
    <cellStyle name="常规 3" xfId="6" xr:uid="{00000000-0005-0000-0000-000036000000}"/>
    <cellStyle name="常规 3 2" xfId="2" xr:uid="{00000000-0005-0000-0000-000029000000}"/>
    <cellStyle name="常规 3 2 2" xfId="1" xr:uid="{00000000-0005-0000-0000-000012000000}"/>
    <cellStyle name="常规 3 4" xfId="4" xr:uid="{00000000-0005-0000-0000-000031000000}"/>
    <cellStyle name="常规 4" xfId="7" xr:uid="{00000000-0005-0000-0000-000037000000}"/>
    <cellStyle name="常规 5" xfId="8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&#21150;&#20844;&#23460;&#30005;&#33041;D&#30424;&#22791;&#20221;/gr/DALEC&#30899;&#24211;&#27169;&#22411;/&#25968;&#25454;/CERN/&#22303;&#22756;&#25968;&#25454;/02%20&#26862;&#26519;&#31532;&#19968;&#22871;&#25351;&#26631;-&#21696;&#29282;&#23665;&#31449;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B01"/>
      <sheetName val="FB02"/>
      <sheetName val="FB03"/>
      <sheetName val="FB04"/>
      <sheetName val="FB06"/>
      <sheetName val="FB07"/>
      <sheetName val="FB08"/>
      <sheetName val="FB09"/>
      <sheetName val="forest_plot"/>
      <sheetName val="refer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zoomScaleNormal="100" workbookViewId="0">
      <pane ySplit="1" topLeftCell="A2" activePane="bottomLeft" state="frozen"/>
      <selection pane="bottomLeft" activeCell="T6" sqref="T6"/>
    </sheetView>
  </sheetViews>
  <sheetFormatPr defaultColWidth="9" defaultRowHeight="15" x14ac:dyDescent="0.15"/>
  <cols>
    <col min="1" max="3" width="10.625" style="18" customWidth="1"/>
    <col min="4" max="4" width="10.625" style="11" customWidth="1"/>
    <col min="5" max="5" width="10.625" style="12" customWidth="1"/>
    <col min="6" max="16" width="10.625" style="11" customWidth="1"/>
    <col min="17" max="17" width="10.625" style="12" customWidth="1"/>
  </cols>
  <sheetData>
    <row r="1" spans="1:17" s="1" customFormat="1" ht="42.75" x14ac:dyDescent="0.1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25">
      <c r="A2" s="6" t="s">
        <v>17</v>
      </c>
      <c r="B2" s="6">
        <v>2004</v>
      </c>
      <c r="C2" s="6">
        <v>12</v>
      </c>
      <c r="D2" s="7">
        <v>23062.946</v>
      </c>
      <c r="E2" s="8">
        <v>1009.33303158697</v>
      </c>
      <c r="F2" s="7">
        <v>15367.3055</v>
      </c>
      <c r="G2" s="9">
        <v>690.96912632312103</v>
      </c>
      <c r="H2" s="7">
        <v>3085.0335</v>
      </c>
      <c r="I2" s="9">
        <v>131.36604006023799</v>
      </c>
      <c r="J2" s="7">
        <v>157.928</v>
      </c>
      <c r="K2" s="9">
        <v>4.1681277496419797</v>
      </c>
      <c r="L2" s="7"/>
      <c r="M2" s="7"/>
      <c r="N2" s="7"/>
      <c r="O2" s="7"/>
      <c r="P2" s="7">
        <v>4452.6789999999901</v>
      </c>
      <c r="Q2" s="9">
        <v>182.82973745397399</v>
      </c>
    </row>
    <row r="3" spans="1:17" x14ac:dyDescent="0.25">
      <c r="A3" s="10" t="s">
        <v>17</v>
      </c>
      <c r="B3" s="10">
        <v>2005</v>
      </c>
      <c r="C3" s="10">
        <v>11</v>
      </c>
      <c r="D3" s="11">
        <v>23305.8845</v>
      </c>
      <c r="E3" s="8">
        <v>1012.97618981406</v>
      </c>
      <c r="F3" s="11">
        <v>15532.7655</v>
      </c>
      <c r="G3" s="9">
        <v>693.38470236725402</v>
      </c>
      <c r="H3" s="11">
        <v>3116.819</v>
      </c>
      <c r="I3" s="9">
        <v>131.84930200863201</v>
      </c>
      <c r="J3" s="11">
        <v>159.09399999999999</v>
      </c>
      <c r="K3" s="9">
        <v>4.2075410823323498</v>
      </c>
      <c r="P3" s="11">
        <v>4497.2060000000101</v>
      </c>
      <c r="Q3" s="9">
        <v>183.53464435583899</v>
      </c>
    </row>
    <row r="4" spans="1:17" x14ac:dyDescent="0.25">
      <c r="A4" s="10" t="s">
        <v>17</v>
      </c>
      <c r="B4" s="10">
        <v>2010</v>
      </c>
      <c r="C4" s="10">
        <v>11</v>
      </c>
      <c r="D4" s="11">
        <v>24114.808000000001</v>
      </c>
      <c r="E4" s="8">
        <v>1089.8128003076199</v>
      </c>
      <c r="F4" s="11">
        <v>16059.388999999999</v>
      </c>
      <c r="G4" s="9">
        <v>746.07855966635304</v>
      </c>
      <c r="H4" s="11">
        <v>3227.0929999999998</v>
      </c>
      <c r="I4" s="9">
        <v>141.80456588316599</v>
      </c>
      <c r="J4" s="11">
        <v>167.19</v>
      </c>
      <c r="K4" s="9">
        <v>4.5597151805431499</v>
      </c>
      <c r="P4" s="11">
        <v>4661.1360000000004</v>
      </c>
      <c r="Q4" s="9">
        <v>197.36995957756201</v>
      </c>
    </row>
    <row r="5" spans="1:17" x14ac:dyDescent="0.25">
      <c r="A5" s="10" t="s">
        <v>17</v>
      </c>
      <c r="B5" s="10">
        <v>2015</v>
      </c>
      <c r="C5" s="10">
        <v>10</v>
      </c>
      <c r="D5" s="11">
        <v>25351.085156284</v>
      </c>
      <c r="E5" s="8">
        <v>1118.8073160911099</v>
      </c>
      <c r="F5" s="11">
        <v>16943.475541589502</v>
      </c>
      <c r="G5" s="9">
        <v>767.52405080093502</v>
      </c>
      <c r="H5" s="11">
        <v>3381.0052815180502</v>
      </c>
      <c r="I5" s="9">
        <v>145.25853252996299</v>
      </c>
      <c r="J5" s="11">
        <v>165.80737967348099</v>
      </c>
      <c r="K5" s="9">
        <v>4.4567029427219804</v>
      </c>
      <c r="P5" s="11">
        <v>4860.7969535029497</v>
      </c>
      <c r="Q5" s="9">
        <v>201.568029817492</v>
      </c>
    </row>
    <row r="6" spans="1:17" x14ac:dyDescent="0.25">
      <c r="A6" s="10" t="s">
        <v>18</v>
      </c>
      <c r="B6" s="10">
        <v>2004</v>
      </c>
      <c r="C6" s="10">
        <v>8</v>
      </c>
      <c r="D6" s="11">
        <v>4872.1142857142904</v>
      </c>
      <c r="E6" s="12">
        <f>SUM(G6+I6+K6+Q6)</f>
        <v>182.78225903999999</v>
      </c>
      <c r="F6" s="11">
        <v>2200.49761904762</v>
      </c>
      <c r="G6" s="13">
        <v>86.374920320000001</v>
      </c>
      <c r="H6" s="11">
        <v>945.77142857142906</v>
      </c>
      <c r="I6" s="13">
        <v>41.75673578</v>
      </c>
      <c r="J6" s="11">
        <v>594.78333333333296</v>
      </c>
      <c r="K6" s="13">
        <v>27.400517929999999</v>
      </c>
      <c r="P6" s="11">
        <v>1131.0619047619</v>
      </c>
      <c r="Q6" s="13">
        <v>27.250085009999999</v>
      </c>
    </row>
    <row r="7" spans="1:17" x14ac:dyDescent="0.25">
      <c r="A7" s="10" t="s">
        <v>18</v>
      </c>
      <c r="B7" s="10">
        <v>2010</v>
      </c>
      <c r="C7" s="10">
        <v>6</v>
      </c>
      <c r="D7" s="11">
        <v>6102.0904761904803</v>
      </c>
      <c r="E7" s="12">
        <f>SUM(G7+I7+K7+Q7)</f>
        <v>244.64628486000001</v>
      </c>
      <c r="F7" s="11">
        <v>2893.3071428571402</v>
      </c>
      <c r="G7" s="13">
        <v>114.5133735</v>
      </c>
      <c r="H7" s="11">
        <v>1320.9880952381</v>
      </c>
      <c r="I7" s="13">
        <v>57.770519669999999</v>
      </c>
      <c r="J7" s="11">
        <v>718.69285714285695</v>
      </c>
      <c r="K7" s="13">
        <v>36.741470409999998</v>
      </c>
      <c r="P7" s="11">
        <v>1169.1023809523799</v>
      </c>
      <c r="Q7" s="13">
        <v>35.620921279999997</v>
      </c>
    </row>
    <row r="8" spans="1:17" x14ac:dyDescent="0.25">
      <c r="A8" s="10" t="s">
        <v>18</v>
      </c>
      <c r="B8" s="10">
        <v>2015</v>
      </c>
      <c r="C8" s="10">
        <v>7</v>
      </c>
      <c r="D8" s="11">
        <v>6253.48871618868</v>
      </c>
      <c r="E8" s="12">
        <f>SUM(G8+I8+K8+Q8)</f>
        <v>281.44763983000001</v>
      </c>
      <c r="F8" s="11">
        <v>2944.1540121758399</v>
      </c>
      <c r="G8" s="13">
        <v>125.5490557</v>
      </c>
      <c r="H8" s="11">
        <v>1499.4899038875301</v>
      </c>
      <c r="I8" s="13">
        <v>74.047441090000007</v>
      </c>
      <c r="J8" s="11">
        <v>823.70762833733602</v>
      </c>
      <c r="K8" s="13">
        <v>42.6090947</v>
      </c>
      <c r="P8" s="11">
        <v>1075.7556678739199</v>
      </c>
      <c r="Q8" s="13">
        <v>39.242048339999997</v>
      </c>
    </row>
    <row r="9" spans="1:17" x14ac:dyDescent="0.25">
      <c r="A9" s="10" t="s">
        <v>19</v>
      </c>
      <c r="B9" s="10">
        <v>2004</v>
      </c>
      <c r="C9" s="10">
        <v>5</v>
      </c>
      <c r="D9" s="11">
        <v>14204.5615</v>
      </c>
      <c r="E9" s="12">
        <f t="shared" ref="E9:E14" si="0">SUM(G9+I9+K9+Q9)</f>
        <v>696.92280544400012</v>
      </c>
      <c r="F9" s="11">
        <v>9563.0655000000006</v>
      </c>
      <c r="G9" s="13">
        <v>486.94237329999999</v>
      </c>
      <c r="H9" s="11">
        <v>1725.6455000000001</v>
      </c>
      <c r="I9" s="13">
        <v>58.437449630000003</v>
      </c>
      <c r="J9" s="11">
        <v>182.719999999999</v>
      </c>
      <c r="K9" s="13">
        <v>4.2324484140000003</v>
      </c>
      <c r="P9" s="11">
        <v>2733.1305000000002</v>
      </c>
      <c r="Q9" s="13">
        <v>147.31053410000001</v>
      </c>
    </row>
    <row r="10" spans="1:17" x14ac:dyDescent="0.25">
      <c r="A10" s="10" t="s">
        <v>19</v>
      </c>
      <c r="B10" s="10">
        <v>2005</v>
      </c>
      <c r="C10" s="10">
        <v>6</v>
      </c>
      <c r="D10" s="11">
        <v>14551.4555</v>
      </c>
      <c r="E10" s="12">
        <f t="shared" si="0"/>
        <v>688.37545144900014</v>
      </c>
      <c r="F10" s="11">
        <v>9858.3065000000006</v>
      </c>
      <c r="G10" s="13">
        <v>481.19396749999999</v>
      </c>
      <c r="H10" s="11">
        <v>1762.0985000000001</v>
      </c>
      <c r="I10" s="13">
        <v>57.276947409999998</v>
      </c>
      <c r="J10" s="11">
        <v>152.09049999999999</v>
      </c>
      <c r="K10" s="13">
        <v>4.133517339</v>
      </c>
      <c r="P10" s="11">
        <v>2778.96</v>
      </c>
      <c r="Q10" s="13">
        <v>145.77101920000001</v>
      </c>
    </row>
    <row r="11" spans="1:17" x14ac:dyDescent="0.25">
      <c r="A11" s="10" t="s">
        <v>19</v>
      </c>
      <c r="B11" s="10">
        <v>2007</v>
      </c>
      <c r="C11" s="10">
        <v>6</v>
      </c>
      <c r="D11" s="11">
        <v>14443.9745</v>
      </c>
      <c r="E11" s="12">
        <f t="shared" si="0"/>
        <v>479.12292627900001</v>
      </c>
      <c r="F11" s="11">
        <v>9703.5925000000007</v>
      </c>
      <c r="G11" s="13">
        <v>329.83810740000001</v>
      </c>
      <c r="H11" s="11">
        <v>1779.7615000000001</v>
      </c>
      <c r="I11" s="13">
        <v>49.029766850000001</v>
      </c>
      <c r="J11" s="11">
        <v>194.88199999999901</v>
      </c>
      <c r="K11" s="13">
        <v>3.5962798490000001</v>
      </c>
      <c r="P11" s="11">
        <v>2765.7384999999999</v>
      </c>
      <c r="Q11" s="13">
        <v>96.65877218</v>
      </c>
    </row>
    <row r="12" spans="1:17" x14ac:dyDescent="0.25">
      <c r="A12" s="10" t="s">
        <v>19</v>
      </c>
      <c r="B12" s="10">
        <v>2008</v>
      </c>
      <c r="C12" s="10">
        <v>3</v>
      </c>
      <c r="D12" s="11">
        <v>15645.200999999999</v>
      </c>
      <c r="E12" s="12">
        <f t="shared" si="0"/>
        <v>651.285262988</v>
      </c>
      <c r="F12" s="11">
        <v>10540.147999999999</v>
      </c>
      <c r="G12" s="13">
        <v>454.91531070000002</v>
      </c>
      <c r="H12" s="11">
        <v>1881.8920000000001</v>
      </c>
      <c r="I12" s="13">
        <v>54.257708440000002</v>
      </c>
      <c r="J12" s="11">
        <v>201.6925</v>
      </c>
      <c r="K12" s="13">
        <v>3.9379874479999999</v>
      </c>
      <c r="P12" s="11">
        <v>3021.4684999999999</v>
      </c>
      <c r="Q12" s="13">
        <v>138.17425639999999</v>
      </c>
    </row>
    <row r="13" spans="1:17" x14ac:dyDescent="0.25">
      <c r="A13" s="10" t="s">
        <v>19</v>
      </c>
      <c r="B13" s="10">
        <v>2010</v>
      </c>
      <c r="C13" s="10">
        <v>3</v>
      </c>
      <c r="D13" s="11">
        <v>16143.43</v>
      </c>
      <c r="E13" s="12">
        <f t="shared" si="0"/>
        <v>599.10721884400004</v>
      </c>
      <c r="F13" s="11">
        <v>10879.3935</v>
      </c>
      <c r="G13" s="13">
        <v>420.16211340000001</v>
      </c>
      <c r="H13" s="11">
        <v>1921.45299999999</v>
      </c>
      <c r="I13" s="13">
        <v>46.837319110000003</v>
      </c>
      <c r="J13" s="11">
        <v>210.20950000000099</v>
      </c>
      <c r="K13" s="13">
        <v>3.3192095340000001</v>
      </c>
      <c r="P13" s="11">
        <v>3132.3415</v>
      </c>
      <c r="Q13" s="13">
        <v>128.78857679999999</v>
      </c>
    </row>
    <row r="14" spans="1:17" s="2" customFormat="1" x14ac:dyDescent="0.25">
      <c r="A14" s="14" t="s">
        <v>19</v>
      </c>
      <c r="B14" s="14">
        <v>2015</v>
      </c>
      <c r="C14" s="14">
        <v>6</v>
      </c>
      <c r="D14" s="15">
        <v>15954.2943613602</v>
      </c>
      <c r="E14" s="12">
        <f t="shared" si="0"/>
        <v>664.93565081899999</v>
      </c>
      <c r="F14" s="15">
        <v>10809.9264068553</v>
      </c>
      <c r="G14" s="13">
        <v>468.60481729999998</v>
      </c>
      <c r="H14" s="15">
        <v>1800.56067513473</v>
      </c>
      <c r="I14" s="13">
        <v>47.602324009999997</v>
      </c>
      <c r="J14" s="15">
        <v>196.939828645045</v>
      </c>
      <c r="K14" s="13">
        <v>3.2674968089999998</v>
      </c>
      <c r="L14" s="15"/>
      <c r="M14" s="15"/>
      <c r="N14" s="15"/>
      <c r="O14" s="15"/>
      <c r="P14" s="15">
        <v>3146.8674507251098</v>
      </c>
      <c r="Q14" s="13">
        <v>145.4610127</v>
      </c>
    </row>
    <row r="15" spans="1:17" x14ac:dyDescent="0.25">
      <c r="A15" s="10" t="s">
        <v>20</v>
      </c>
      <c r="B15" s="10">
        <v>2005</v>
      </c>
      <c r="C15" s="10">
        <v>8</v>
      </c>
      <c r="D15" s="11">
        <v>3338.7072027880499</v>
      </c>
      <c r="E15" s="12">
        <f t="shared" ref="E15:E23" si="1">SUM(G15+I15+K15+M15+O15+Q15)</f>
        <v>80.647851196999994</v>
      </c>
      <c r="F15" s="11">
        <v>1776.38725767142</v>
      </c>
      <c r="G15" s="13">
        <v>38.659744140000001</v>
      </c>
      <c r="H15" s="11">
        <v>414.45625986625902</v>
      </c>
      <c r="I15" s="13">
        <v>10.606549449999999</v>
      </c>
      <c r="J15" s="11">
        <v>319.42902432407402</v>
      </c>
      <c r="K15" s="13">
        <v>6.5334307000000003</v>
      </c>
      <c r="L15" s="11">
        <v>73.065942484499303</v>
      </c>
      <c r="M15" s="13">
        <v>1.3854279439999999</v>
      </c>
      <c r="N15" s="11">
        <v>227.03135755103901</v>
      </c>
      <c r="O15" s="13">
        <v>5.082086823</v>
      </c>
      <c r="P15" s="11">
        <v>781.55256486308895</v>
      </c>
      <c r="Q15" s="13">
        <v>18.38061214</v>
      </c>
    </row>
    <row r="16" spans="1:17" x14ac:dyDescent="0.25">
      <c r="A16" s="10" t="s">
        <v>20</v>
      </c>
      <c r="B16" s="10">
        <v>2010</v>
      </c>
      <c r="C16" s="10">
        <v>8</v>
      </c>
      <c r="D16" s="11">
        <v>4770.2560644084497</v>
      </c>
      <c r="E16" s="12">
        <f t="shared" si="1"/>
        <v>125.206884949</v>
      </c>
      <c r="F16" s="11">
        <v>2629.0776902164698</v>
      </c>
      <c r="G16" s="13">
        <v>59.466784480000001</v>
      </c>
      <c r="H16" s="11">
        <v>614.93665868780704</v>
      </c>
      <c r="I16" s="13">
        <v>18.51313472</v>
      </c>
      <c r="J16" s="11">
        <v>467.67040289126999</v>
      </c>
      <c r="K16" s="13">
        <v>10.624229550000001</v>
      </c>
      <c r="L16" s="11">
        <v>99.184272599964999</v>
      </c>
      <c r="M16" s="13">
        <v>2.207077586</v>
      </c>
      <c r="N16" s="11">
        <v>308.17877512898798</v>
      </c>
      <c r="O16" s="13">
        <v>7.1333475330000002</v>
      </c>
      <c r="P16" s="11">
        <v>1119.19511712346</v>
      </c>
      <c r="Q16" s="13">
        <v>27.26231108</v>
      </c>
    </row>
    <row r="17" spans="1:17" x14ac:dyDescent="0.25">
      <c r="A17" s="10" t="s">
        <v>20</v>
      </c>
      <c r="B17" s="10">
        <v>2015</v>
      </c>
      <c r="C17" s="10">
        <v>8</v>
      </c>
      <c r="D17" s="11">
        <v>5599.1932777603497</v>
      </c>
      <c r="E17" s="12">
        <f t="shared" si="1"/>
        <v>132.503566183</v>
      </c>
      <c r="F17" s="11">
        <v>2819.1566455357902</v>
      </c>
      <c r="G17" s="13">
        <v>63.045446329999997</v>
      </c>
      <c r="H17" s="11">
        <v>654.23549918537299</v>
      </c>
      <c r="I17" s="13">
        <v>19.499937419999998</v>
      </c>
      <c r="J17" s="11">
        <v>501.14062905252001</v>
      </c>
      <c r="K17" s="13">
        <v>11.390520499999999</v>
      </c>
      <c r="L17" s="11">
        <v>105.02525455979099</v>
      </c>
      <c r="M17" s="13">
        <v>2.3195822869999998</v>
      </c>
      <c r="N17" s="11">
        <v>329.80273589498</v>
      </c>
      <c r="O17" s="13">
        <v>7.463467466</v>
      </c>
      <c r="P17" s="11">
        <v>1189.8325135319001</v>
      </c>
      <c r="Q17" s="13">
        <v>28.78461218</v>
      </c>
    </row>
    <row r="18" spans="1:17" x14ac:dyDescent="0.25">
      <c r="A18" s="10" t="s">
        <v>21</v>
      </c>
      <c r="B18" s="10">
        <v>2004</v>
      </c>
      <c r="C18" s="10">
        <v>10</v>
      </c>
      <c r="D18" s="11">
        <v>12475.625486311599</v>
      </c>
      <c r="E18" s="12">
        <f t="shared" si="1"/>
        <v>582.21772604</v>
      </c>
      <c r="F18" s="11">
        <v>6178.076</v>
      </c>
      <c r="G18" s="13">
        <v>254.95948490000001</v>
      </c>
      <c r="H18" s="11">
        <v>3438.97</v>
      </c>
      <c r="I18" s="13">
        <v>191.6312374</v>
      </c>
      <c r="J18" s="11">
        <v>303.78399999999999</v>
      </c>
      <c r="K18" s="13">
        <v>7.6485542400000002</v>
      </c>
      <c r="P18" s="11">
        <v>2671.7719999999999</v>
      </c>
      <c r="Q18" s="13">
        <v>127.9784495</v>
      </c>
    </row>
    <row r="19" spans="1:17" x14ac:dyDescent="0.25">
      <c r="A19" s="10" t="s">
        <v>21</v>
      </c>
      <c r="B19" s="10">
        <v>2010</v>
      </c>
      <c r="C19" s="10">
        <v>10</v>
      </c>
      <c r="D19" s="11">
        <v>12128.937550483401</v>
      </c>
      <c r="E19" s="12">
        <f t="shared" si="1"/>
        <v>537.44106510999995</v>
      </c>
      <c r="F19" s="11">
        <v>5816.8455000000004</v>
      </c>
      <c r="G19" s="13">
        <v>213.09757859999999</v>
      </c>
      <c r="H19" s="11">
        <v>3276.9645</v>
      </c>
      <c r="I19" s="13">
        <v>168.58511179999999</v>
      </c>
      <c r="J19" s="11">
        <v>615.37350000000004</v>
      </c>
      <c r="K19" s="13">
        <v>43.01599461</v>
      </c>
      <c r="P19" s="11">
        <v>2419.7615000000001</v>
      </c>
      <c r="Q19" s="13">
        <v>112.74238010000001</v>
      </c>
    </row>
    <row r="20" spans="1:17" x14ac:dyDescent="0.25">
      <c r="A20" s="10" t="s">
        <v>21</v>
      </c>
      <c r="B20" s="10">
        <v>2015</v>
      </c>
      <c r="C20" s="10">
        <v>10</v>
      </c>
      <c r="D20" s="11">
        <v>14315.967807675401</v>
      </c>
      <c r="E20" s="12">
        <f t="shared" si="1"/>
        <v>586.50328826999998</v>
      </c>
      <c r="F20" s="11">
        <v>7078.8885571771098</v>
      </c>
      <c r="G20" s="13">
        <v>226.0760823</v>
      </c>
      <c r="H20" s="11">
        <v>3663.3814024609901</v>
      </c>
      <c r="I20" s="13">
        <v>183.40823879999999</v>
      </c>
      <c r="J20" s="11">
        <v>805.13035085741603</v>
      </c>
      <c r="K20" s="13">
        <v>53.879459869999998</v>
      </c>
      <c r="P20" s="11">
        <v>3227.5105606524799</v>
      </c>
      <c r="Q20" s="13">
        <v>123.13950730000001</v>
      </c>
    </row>
    <row r="21" spans="1:17" s="3" customFormat="1" x14ac:dyDescent="0.25">
      <c r="A21" s="16" t="s">
        <v>22</v>
      </c>
      <c r="B21" s="16">
        <v>2010</v>
      </c>
      <c r="C21" s="16">
        <v>10</v>
      </c>
      <c r="D21" s="11">
        <v>5072.2392575000003</v>
      </c>
      <c r="E21" s="12">
        <f t="shared" si="1"/>
        <v>104.03916158999999</v>
      </c>
      <c r="F21" s="11">
        <v>3450.96028834455</v>
      </c>
      <c r="G21" s="13">
        <v>62.676256359999996</v>
      </c>
      <c r="H21" s="11">
        <v>473.49944190488202</v>
      </c>
      <c r="I21" s="13">
        <v>9.2606011749999997</v>
      </c>
      <c r="J21" s="11">
        <v>130.46706601160599</v>
      </c>
      <c r="K21" s="13">
        <v>1.869576707</v>
      </c>
      <c r="L21" s="11"/>
      <c r="M21" s="11"/>
      <c r="N21" s="11">
        <v>452.926904382852</v>
      </c>
      <c r="O21" s="13">
        <v>8.2273306579999996</v>
      </c>
      <c r="P21" s="11">
        <v>1006.87351795198</v>
      </c>
      <c r="Q21" s="13">
        <v>22.005396690000001</v>
      </c>
    </row>
    <row r="22" spans="1:17" s="3" customFormat="1" x14ac:dyDescent="0.25">
      <c r="A22" s="16" t="s">
        <v>22</v>
      </c>
      <c r="B22" s="16">
        <v>2012</v>
      </c>
      <c r="C22" s="16">
        <v>10</v>
      </c>
      <c r="D22" s="11">
        <v>6026.4662774999997</v>
      </c>
      <c r="E22" s="12">
        <f t="shared" si="1"/>
        <v>147.276711159</v>
      </c>
      <c r="F22" s="11">
        <v>4042.3913962331799</v>
      </c>
      <c r="G22" s="13">
        <v>87.218829510000006</v>
      </c>
      <c r="H22" s="11">
        <v>571.17969199850495</v>
      </c>
      <c r="I22" s="13">
        <v>13.283383110000001</v>
      </c>
      <c r="J22" s="11">
        <v>142.77958486113801</v>
      </c>
      <c r="K22" s="13">
        <v>2.484058439</v>
      </c>
      <c r="L22" s="11"/>
      <c r="M22" s="11"/>
      <c r="N22" s="11">
        <v>530.94562989746703</v>
      </c>
      <c r="O22" s="13">
        <v>11.47492471</v>
      </c>
      <c r="P22" s="11">
        <v>1270.10958915521</v>
      </c>
      <c r="Q22" s="13">
        <v>32.815515390000002</v>
      </c>
    </row>
    <row r="23" spans="1:17" s="3" customFormat="1" x14ac:dyDescent="0.25">
      <c r="A23" s="16" t="s">
        <v>22</v>
      </c>
      <c r="B23" s="16">
        <v>2015</v>
      </c>
      <c r="C23" s="16">
        <v>11</v>
      </c>
      <c r="D23" s="11">
        <v>6273.7195428000005</v>
      </c>
      <c r="E23" s="12">
        <f t="shared" si="1"/>
        <v>174.25432244000001</v>
      </c>
      <c r="F23" s="11">
        <v>4171.9488070309199</v>
      </c>
      <c r="G23" s="13">
        <v>103.9288931</v>
      </c>
      <c r="H23" s="11">
        <v>616.25892871505698</v>
      </c>
      <c r="I23" s="13">
        <v>16.71434498</v>
      </c>
      <c r="J23" s="11">
        <v>145.65584063800699</v>
      </c>
      <c r="K23" s="13">
        <v>3.1782144300000001</v>
      </c>
      <c r="L23" s="11"/>
      <c r="M23" s="11"/>
      <c r="N23" s="11">
        <v>549.24564175580997</v>
      </c>
      <c r="O23" s="13">
        <v>12.706349299999999</v>
      </c>
      <c r="P23" s="11">
        <v>1346.2017104184599</v>
      </c>
      <c r="Q23" s="13">
        <v>37.726520630000003</v>
      </c>
    </row>
    <row r="24" spans="1:17" s="3" customFormat="1" x14ac:dyDescent="0.25">
      <c r="A24" s="16" t="s">
        <v>23</v>
      </c>
      <c r="B24" s="16">
        <v>2005</v>
      </c>
      <c r="C24" s="16">
        <v>11</v>
      </c>
      <c r="D24" s="11">
        <v>13103.252826451801</v>
      </c>
      <c r="E24" s="13">
        <v>340.2543</v>
      </c>
      <c r="F24" s="17">
        <v>6517.6175211116197</v>
      </c>
      <c r="G24" s="13">
        <v>179.40872440000001</v>
      </c>
      <c r="H24" s="17">
        <v>2592.8721864061899</v>
      </c>
      <c r="I24" s="13">
        <v>64.045599999999993</v>
      </c>
      <c r="J24" s="17">
        <v>696.901018139705</v>
      </c>
      <c r="K24" s="13">
        <v>15.704650000000001</v>
      </c>
      <c r="L24" s="11"/>
      <c r="M24" s="11"/>
      <c r="N24" s="11">
        <v>938.50387820944604</v>
      </c>
      <c r="O24" s="11">
        <f>E24-G24-I24-K24-Q24</f>
        <v>24.481965599999995</v>
      </c>
      <c r="P24" s="17">
        <v>2357.35822258489</v>
      </c>
      <c r="Q24" s="13">
        <v>56.61336</v>
      </c>
    </row>
    <row r="25" spans="1:17" s="3" customFormat="1" x14ac:dyDescent="0.25">
      <c r="A25" s="16" t="s">
        <v>23</v>
      </c>
      <c r="B25" s="16">
        <v>2006</v>
      </c>
      <c r="C25" s="16">
        <v>11</v>
      </c>
      <c r="D25" s="11">
        <v>13432.773811106101</v>
      </c>
      <c r="E25" s="13">
        <v>343.20949999999999</v>
      </c>
      <c r="F25" s="17">
        <v>6680.70637926172</v>
      </c>
      <c r="G25" s="13">
        <v>180.7661229</v>
      </c>
      <c r="H25" s="17">
        <v>2658.5128351050798</v>
      </c>
      <c r="I25" s="13">
        <v>64.748369999999994</v>
      </c>
      <c r="J25" s="17">
        <v>714.19510966642702</v>
      </c>
      <c r="K25" s="13">
        <v>16.079129999999999</v>
      </c>
      <c r="L25" s="11"/>
      <c r="M25" s="11"/>
      <c r="N25" s="11">
        <v>964.21997701746602</v>
      </c>
      <c r="O25" s="11">
        <f t="shared" ref="O25:O33" si="2">E25-G25-I25-K25-Q25</f>
        <v>24.528177100000008</v>
      </c>
      <c r="P25" s="17">
        <v>2415.13951005542</v>
      </c>
      <c r="Q25" s="13">
        <v>57.087699999999998</v>
      </c>
    </row>
    <row r="26" spans="1:17" s="3" customFormat="1" x14ac:dyDescent="0.25">
      <c r="A26" s="16" t="s">
        <v>23</v>
      </c>
      <c r="B26" s="16">
        <v>2007</v>
      </c>
      <c r="C26" s="16">
        <v>11</v>
      </c>
      <c r="D26" s="11">
        <v>13388.1025475033</v>
      </c>
      <c r="E26" s="13">
        <v>346.2672</v>
      </c>
      <c r="F26" s="17">
        <v>6666.2980540427998</v>
      </c>
      <c r="G26" s="13">
        <v>182.25077759999999</v>
      </c>
      <c r="H26" s="17">
        <v>2647.1814104137802</v>
      </c>
      <c r="I26" s="13">
        <v>65.340490000000003</v>
      </c>
      <c r="J26" s="17">
        <v>709.49531569554097</v>
      </c>
      <c r="K26" s="13">
        <v>16.18525</v>
      </c>
      <c r="L26" s="11"/>
      <c r="M26" s="11"/>
      <c r="N26" s="11">
        <v>961.24874117651495</v>
      </c>
      <c r="O26" s="11">
        <f t="shared" si="2"/>
        <v>24.851492400000012</v>
      </c>
      <c r="P26" s="17">
        <v>2403.8790261746599</v>
      </c>
      <c r="Q26" s="13">
        <v>57.639189999999999</v>
      </c>
    </row>
    <row r="27" spans="1:17" s="3" customFormat="1" x14ac:dyDescent="0.25">
      <c r="A27" s="16" t="s">
        <v>23</v>
      </c>
      <c r="B27" s="16">
        <v>2009</v>
      </c>
      <c r="C27" s="16">
        <v>10</v>
      </c>
      <c r="D27" s="11">
        <v>13805.9974907097</v>
      </c>
      <c r="E27" s="13">
        <v>388.98660000000001</v>
      </c>
      <c r="F27" s="17">
        <v>6962.1622543815402</v>
      </c>
      <c r="G27" s="13">
        <v>207.58382090000001</v>
      </c>
      <c r="H27" s="17">
        <v>2675.1430782545099</v>
      </c>
      <c r="I27" s="13">
        <v>72.025000000000006</v>
      </c>
      <c r="J27" s="17">
        <v>755.81350626374001</v>
      </c>
      <c r="K27" s="13">
        <v>18.292090000000002</v>
      </c>
      <c r="L27" s="11"/>
      <c r="M27" s="11"/>
      <c r="N27" s="11">
        <v>986.93885323546294</v>
      </c>
      <c r="O27" s="11">
        <f t="shared" si="2"/>
        <v>27.597919099999999</v>
      </c>
      <c r="P27" s="17">
        <v>2425.9397985744999</v>
      </c>
      <c r="Q27" s="13">
        <v>63.487769999999998</v>
      </c>
    </row>
    <row r="28" spans="1:17" x14ac:dyDescent="0.25">
      <c r="A28" s="10" t="s">
        <v>23</v>
      </c>
      <c r="B28" s="10">
        <v>2010</v>
      </c>
      <c r="C28" s="10">
        <v>11</v>
      </c>
      <c r="D28" s="11">
        <v>14070.3035244979</v>
      </c>
      <c r="E28" s="13">
        <v>401.96550000000002</v>
      </c>
      <c r="F28" s="17">
        <v>7076.3782753724499</v>
      </c>
      <c r="G28" s="13">
        <v>213.69279950000001</v>
      </c>
      <c r="H28" s="17">
        <v>2751.9027539636299</v>
      </c>
      <c r="I28" s="13">
        <v>74.546980000000005</v>
      </c>
      <c r="J28" s="17">
        <v>741.98025557731103</v>
      </c>
      <c r="K28" s="13">
        <v>18.69312</v>
      </c>
      <c r="N28" s="11">
        <v>1000.4986149768999</v>
      </c>
      <c r="O28" s="11">
        <f t="shared" si="2"/>
        <v>28.9187905</v>
      </c>
      <c r="P28" s="17">
        <v>2499.5436246076601</v>
      </c>
      <c r="Q28" s="13">
        <v>66.113810000000001</v>
      </c>
    </row>
    <row r="29" spans="1:17" x14ac:dyDescent="0.25">
      <c r="A29" s="10" t="s">
        <v>23</v>
      </c>
      <c r="B29" s="10">
        <v>2011</v>
      </c>
      <c r="C29" s="10">
        <v>11</v>
      </c>
      <c r="D29" s="11">
        <v>14283.5442930797</v>
      </c>
      <c r="E29" s="13">
        <v>406.61770000000001</v>
      </c>
      <c r="F29" s="17">
        <v>7183.9334536644901</v>
      </c>
      <c r="G29" s="13">
        <v>216.36101429999999</v>
      </c>
      <c r="H29" s="17">
        <v>2791.5502260365101</v>
      </c>
      <c r="I29" s="13">
        <v>75.381730000000005</v>
      </c>
      <c r="J29" s="17">
        <v>754.73775909972505</v>
      </c>
      <c r="K29" s="13">
        <v>18.867180000000001</v>
      </c>
      <c r="N29" s="11">
        <v>1016.9999787574</v>
      </c>
      <c r="O29" s="11">
        <f t="shared" si="2"/>
        <v>29.247245700000008</v>
      </c>
      <c r="P29" s="17">
        <v>2536.32287552154</v>
      </c>
      <c r="Q29" s="13">
        <v>66.760530000000003</v>
      </c>
    </row>
    <row r="30" spans="1:17" x14ac:dyDescent="0.25">
      <c r="A30" s="10" t="s">
        <v>23</v>
      </c>
      <c r="B30" s="10">
        <v>2012</v>
      </c>
      <c r="C30" s="10">
        <v>11</v>
      </c>
      <c r="D30" s="11">
        <v>14428.4350920129</v>
      </c>
      <c r="E30" s="13">
        <v>410.03250000000003</v>
      </c>
      <c r="F30" s="17">
        <v>7259.5801378605202</v>
      </c>
      <c r="G30" s="13">
        <v>218.21551669999999</v>
      </c>
      <c r="H30" s="17">
        <v>2820.35342776162</v>
      </c>
      <c r="I30" s="13">
        <v>76.005700000000004</v>
      </c>
      <c r="J30" s="17">
        <v>759.91213322262104</v>
      </c>
      <c r="K30" s="13">
        <v>18.976489999999998</v>
      </c>
      <c r="N30" s="11">
        <v>1026.6685331322501</v>
      </c>
      <c r="O30" s="11">
        <f t="shared" si="2"/>
        <v>29.502653300000034</v>
      </c>
      <c r="P30" s="17">
        <v>2561.9208600358702</v>
      </c>
      <c r="Q30" s="13">
        <v>67.332139999999995</v>
      </c>
    </row>
    <row r="31" spans="1:17" x14ac:dyDescent="0.25">
      <c r="A31" s="10" t="s">
        <v>23</v>
      </c>
      <c r="B31" s="10">
        <v>2013</v>
      </c>
      <c r="C31" s="10">
        <v>11</v>
      </c>
      <c r="D31" s="11">
        <v>14449.815633906601</v>
      </c>
      <c r="E31" s="13">
        <v>409.83519999999999</v>
      </c>
      <c r="F31" s="17">
        <v>7275.94648095704</v>
      </c>
      <c r="G31" s="13">
        <v>218.36639170000001</v>
      </c>
      <c r="H31" s="17">
        <v>2827.3976230463199</v>
      </c>
      <c r="I31" s="13">
        <v>76.082139999999995</v>
      </c>
      <c r="J31" s="17">
        <v>749.64008828268402</v>
      </c>
      <c r="K31" s="13">
        <v>18.707429999999999</v>
      </c>
      <c r="N31" s="11">
        <v>1029.08851195745</v>
      </c>
      <c r="O31" s="11">
        <f t="shared" si="2"/>
        <v>29.341748299999978</v>
      </c>
      <c r="P31" s="17">
        <v>2567.7429296631099</v>
      </c>
      <c r="Q31" s="13">
        <v>67.337490000000003</v>
      </c>
    </row>
    <row r="32" spans="1:17" x14ac:dyDescent="0.25">
      <c r="A32" s="10" t="s">
        <v>23</v>
      </c>
      <c r="B32" s="10">
        <v>2014</v>
      </c>
      <c r="C32" s="10">
        <v>11</v>
      </c>
      <c r="D32" s="11">
        <v>14662.1456211518</v>
      </c>
      <c r="E32" s="13">
        <v>414.22190000000001</v>
      </c>
      <c r="F32" s="17">
        <v>7392.1195705404698</v>
      </c>
      <c r="G32" s="13">
        <v>220.92434800000001</v>
      </c>
      <c r="H32" s="17">
        <v>2871.39924623052</v>
      </c>
      <c r="I32" s="13">
        <v>76.881659999999997</v>
      </c>
      <c r="J32" s="17">
        <v>754.96666246717905</v>
      </c>
      <c r="K32" s="13">
        <v>18.933399999999999</v>
      </c>
      <c r="N32" s="11">
        <v>1042.2797121758499</v>
      </c>
      <c r="O32" s="11">
        <f t="shared" si="2"/>
        <v>29.572382000000005</v>
      </c>
      <c r="P32" s="17">
        <v>2601.3804297378101</v>
      </c>
      <c r="Q32" s="13">
        <v>67.910110000000003</v>
      </c>
    </row>
    <row r="33" spans="1:17" x14ac:dyDescent="0.25">
      <c r="A33" s="10" t="s">
        <v>23</v>
      </c>
      <c r="B33" s="10">
        <v>2015</v>
      </c>
      <c r="C33" s="10">
        <v>11</v>
      </c>
      <c r="D33" s="11">
        <v>14669.562361197501</v>
      </c>
      <c r="E33" s="13">
        <v>413.44670000000002</v>
      </c>
      <c r="F33" s="17">
        <v>7394.4019414643199</v>
      </c>
      <c r="G33" s="13">
        <v>220.53809240000001</v>
      </c>
      <c r="H33" s="17">
        <v>2873.3966739986599</v>
      </c>
      <c r="I33" s="13">
        <v>76.731229999999996</v>
      </c>
      <c r="J33" s="17">
        <v>755.58834527775798</v>
      </c>
      <c r="K33" s="13">
        <v>18.921320000000001</v>
      </c>
      <c r="N33" s="11">
        <v>1042.81089333826</v>
      </c>
      <c r="O33" s="11">
        <f t="shared" si="2"/>
        <v>29.471357600000019</v>
      </c>
      <c r="P33" s="17">
        <v>2603.3645071185101</v>
      </c>
      <c r="Q33" s="13">
        <v>67.784700000000001</v>
      </c>
    </row>
    <row r="34" spans="1:17" x14ac:dyDescent="0.25">
      <c r="A34" s="10" t="s">
        <v>24</v>
      </c>
      <c r="B34" s="10">
        <v>2005</v>
      </c>
      <c r="C34" s="10">
        <v>8</v>
      </c>
      <c r="D34" s="11">
        <v>2535.3879999999999</v>
      </c>
      <c r="E34" s="12">
        <f t="shared" ref="E34:E40" si="3">SUM(G34+I34+K34+M34+O34+Q34)</f>
        <v>227.76484504799998</v>
      </c>
      <c r="F34" s="11">
        <v>830.12800000000004</v>
      </c>
      <c r="G34" s="13">
        <v>76.114205220000002</v>
      </c>
      <c r="H34" s="11">
        <v>757.322</v>
      </c>
      <c r="I34" s="13">
        <v>66.89398688</v>
      </c>
      <c r="J34" s="11">
        <v>313.95</v>
      </c>
      <c r="K34" s="13">
        <v>26.640047750000001</v>
      </c>
      <c r="L34" s="11">
        <v>45.634</v>
      </c>
      <c r="M34" s="13">
        <v>3.8029290150000001</v>
      </c>
      <c r="N34" s="11">
        <v>100.36799999999999</v>
      </c>
      <c r="O34" s="13">
        <v>8.523087383</v>
      </c>
      <c r="P34" s="11">
        <v>495.15600000000001</v>
      </c>
      <c r="Q34" s="13">
        <v>45.790588800000002</v>
      </c>
    </row>
    <row r="35" spans="1:17" x14ac:dyDescent="0.25">
      <c r="A35" s="10" t="s">
        <v>24</v>
      </c>
      <c r="B35" s="10">
        <v>2007</v>
      </c>
      <c r="C35" s="10">
        <v>8</v>
      </c>
      <c r="D35" s="11">
        <v>3006.7640000000001</v>
      </c>
      <c r="E35" s="12">
        <f t="shared" si="3"/>
        <v>258.33751395999997</v>
      </c>
      <c r="F35" s="11">
        <v>983.53599999999994</v>
      </c>
      <c r="G35" s="13">
        <v>86.166180409999996</v>
      </c>
      <c r="H35" s="11">
        <v>897.28</v>
      </c>
      <c r="I35" s="13">
        <v>75.864935729999999</v>
      </c>
      <c r="J35" s="11">
        <v>371.988</v>
      </c>
      <c r="K35" s="13">
        <v>30.298897310000001</v>
      </c>
      <c r="L35" s="11">
        <v>54.078000000000003</v>
      </c>
      <c r="M35" s="13">
        <v>4.4536119919999999</v>
      </c>
      <c r="N35" s="11">
        <v>118.90600000000001</v>
      </c>
      <c r="O35" s="13">
        <v>9.6930855180000002</v>
      </c>
      <c r="P35" s="11">
        <v>587.08600000000001</v>
      </c>
      <c r="Q35" s="13">
        <v>51.860802999999997</v>
      </c>
    </row>
    <row r="36" spans="1:17" x14ac:dyDescent="0.25">
      <c r="A36" s="10" t="s">
        <v>24</v>
      </c>
      <c r="B36" s="10">
        <v>2015</v>
      </c>
      <c r="C36" s="10">
        <v>7</v>
      </c>
      <c r="D36" s="11">
        <v>4934.4612497186299</v>
      </c>
      <c r="E36" s="12">
        <f t="shared" si="3"/>
        <v>228.651356537</v>
      </c>
      <c r="F36" s="11">
        <v>1960.8413746358599</v>
      </c>
      <c r="G36" s="13">
        <v>36.284279089999998</v>
      </c>
      <c r="H36" s="11">
        <v>1165.5585267173799</v>
      </c>
      <c r="I36" s="13">
        <v>60.868609489999997</v>
      </c>
      <c r="J36" s="11">
        <v>493.72732437920502</v>
      </c>
      <c r="K36" s="13">
        <v>30.658216354</v>
      </c>
      <c r="L36" s="11">
        <v>72.732076790296802</v>
      </c>
      <c r="M36" s="13">
        <v>5.9267176600000004</v>
      </c>
      <c r="N36" s="11">
        <v>171.89398482740199</v>
      </c>
      <c r="O36" s="13">
        <v>5.6770246330000003</v>
      </c>
      <c r="P36" s="11">
        <v>863.01868258388095</v>
      </c>
      <c r="Q36" s="13">
        <v>89.236509310000002</v>
      </c>
    </row>
    <row r="37" spans="1:17" x14ac:dyDescent="0.15">
      <c r="A37" s="10" t="s">
        <v>25</v>
      </c>
      <c r="B37" s="10">
        <v>2003</v>
      </c>
      <c r="C37" s="10">
        <v>8</v>
      </c>
      <c r="D37" s="11">
        <v>4654</v>
      </c>
      <c r="J37" s="11">
        <v>296</v>
      </c>
    </row>
    <row r="38" spans="1:17" x14ac:dyDescent="0.15">
      <c r="A38" s="10" t="s">
        <v>25</v>
      </c>
      <c r="B38" s="10">
        <v>2005</v>
      </c>
      <c r="C38" s="10">
        <v>7</v>
      </c>
      <c r="D38" s="11">
        <v>5340</v>
      </c>
      <c r="J38" s="11">
        <v>340</v>
      </c>
    </row>
    <row r="39" spans="1:17" x14ac:dyDescent="0.25">
      <c r="A39" s="10" t="s">
        <v>26</v>
      </c>
      <c r="B39" s="10">
        <v>2010</v>
      </c>
      <c r="C39" s="10">
        <v>8</v>
      </c>
      <c r="D39" s="11">
        <v>10041.6</v>
      </c>
      <c r="E39" s="12">
        <f t="shared" si="3"/>
        <v>124.909938113</v>
      </c>
      <c r="F39" s="11">
        <v>5320.1796153015803</v>
      </c>
      <c r="G39" s="13">
        <v>61.421340739999998</v>
      </c>
      <c r="H39" s="11">
        <v>1882.24234522659</v>
      </c>
      <c r="I39" s="13">
        <v>29.247902759999999</v>
      </c>
      <c r="J39" s="11">
        <v>293.34030987958403</v>
      </c>
      <c r="K39" s="13">
        <v>5.6315826419999997</v>
      </c>
      <c r="N39" s="11">
        <v>361.72878142495699</v>
      </c>
      <c r="O39" s="13">
        <v>4.6450806910000004</v>
      </c>
      <c r="P39" s="11">
        <v>2184.1130591582601</v>
      </c>
      <c r="Q39" s="13">
        <v>23.96403128</v>
      </c>
    </row>
    <row r="40" spans="1:17" x14ac:dyDescent="0.25">
      <c r="A40" s="10" t="s">
        <v>26</v>
      </c>
      <c r="B40" s="10">
        <v>2015</v>
      </c>
      <c r="C40" s="10">
        <v>9</v>
      </c>
      <c r="D40" s="11">
        <v>12127.063</v>
      </c>
      <c r="E40" s="12">
        <f t="shared" si="3"/>
        <v>118.854002548</v>
      </c>
      <c r="F40" s="11">
        <v>5510.4624999999996</v>
      </c>
      <c r="G40" s="13">
        <v>59.555190039999999</v>
      </c>
      <c r="H40" s="11">
        <v>2898.8989999999999</v>
      </c>
      <c r="I40" s="13">
        <v>24.544615669999999</v>
      </c>
      <c r="J40" s="11">
        <v>882.40850000000103</v>
      </c>
      <c r="K40" s="13">
        <v>6.796252484</v>
      </c>
      <c r="N40" s="11">
        <v>370.221</v>
      </c>
      <c r="O40" s="13">
        <v>4.4842960139999999</v>
      </c>
      <c r="P40" s="11">
        <v>2465.049</v>
      </c>
      <c r="Q40" s="13">
        <v>23.47364834</v>
      </c>
    </row>
  </sheetData>
  <sortState ref="A2:E39">
    <sortCondition ref="A2"/>
  </sortState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biomass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Ge Rong</cp:lastModifiedBy>
  <dcterms:created xsi:type="dcterms:W3CDTF">2017-06-02T01:15:00Z</dcterms:created>
  <dcterms:modified xsi:type="dcterms:W3CDTF">2020-12-08T15:14:31Z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