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observation-based basic element dataset\"/>
    </mc:Choice>
  </mc:AlternateContent>
  <xr:revisionPtr revIDLastSave="0" documentId="13_ncr:1_{17149DD6-9B89-4D9C-B387-4FFD6A6305FD}" xr6:coauthVersionLast="36" xr6:coauthVersionMax="36" xr10:uidLastSave="{00000000-0000-0000-0000-000000000000}"/>
  <bookViews>
    <workbookView xWindow="-20610" yWindow="1905" windowWidth="20730" windowHeight="11160" xr2:uid="{00000000-000D-0000-FFFF-FFFF00000000}"/>
  </bookViews>
  <sheets>
    <sheet name="soil organic carbon density" sheetId="2" r:id="rId1"/>
    <sheet name="soil mechanical composition" sheetId="3" r:id="rId2"/>
    <sheet name="soil organic matter content" sheetId="4" r:id="rId3"/>
    <sheet name="soil bulk density" sheetId="5" r:id="rId4"/>
  </sheets>
  <externalReferences>
    <externalReference r:id="rId5"/>
  </externalReferences>
  <definedNames>
    <definedName name="样地代码2">OFFSET([1]forest_plot!$E$1,MATCH([1]FB02!XFA1,[1]forest_plot!$C:$C,0)-1,,COUNTIF([1]forest_plot!$C:$C,[1]FB02!$A1))</definedName>
  </definedNames>
  <calcPr calcId="191029"/>
</workbook>
</file>

<file path=xl/calcChain.xml><?xml version="1.0" encoding="utf-8"?>
<calcChain xmlns="http://schemas.openxmlformats.org/spreadsheetml/2006/main">
  <c r="E11" i="2" l="1"/>
  <c r="E10" i="2"/>
</calcChain>
</file>

<file path=xl/sharedStrings.xml><?xml version="1.0" encoding="utf-8"?>
<sst xmlns="http://schemas.openxmlformats.org/spreadsheetml/2006/main" count="365" uniqueCount="116">
  <si>
    <t>year</t>
    <phoneticPr fontId="1" type="noConversion"/>
  </si>
  <si>
    <t>month</t>
    <phoneticPr fontId="1" type="noConversion"/>
  </si>
  <si>
    <t>BJF</t>
  </si>
  <si>
    <t>BNF</t>
  </si>
  <si>
    <t>DHF</t>
  </si>
  <si>
    <t>DHF</t>
    <phoneticPr fontId="1" type="noConversion"/>
  </si>
  <si>
    <t>HTF</t>
  </si>
  <si>
    <t>HSF</t>
    <phoneticPr fontId="1" type="noConversion"/>
  </si>
  <si>
    <t>MXF</t>
  </si>
  <si>
    <t>MXF</t>
    <phoneticPr fontId="1" type="noConversion"/>
  </si>
  <si>
    <t>SNF</t>
    <phoneticPr fontId="1" type="noConversion"/>
  </si>
  <si>
    <t>ALF</t>
    <phoneticPr fontId="1" type="noConversion"/>
  </si>
  <si>
    <t>BNF</t>
    <phoneticPr fontId="1" type="noConversion"/>
  </si>
  <si>
    <t>QYF</t>
    <phoneticPr fontId="1" type="noConversion"/>
  </si>
  <si>
    <t>HSF</t>
    <phoneticPr fontId="1" type="noConversion"/>
  </si>
  <si>
    <t>ALF</t>
  </si>
  <si>
    <t>CBF</t>
    <phoneticPr fontId="1" type="noConversion"/>
  </si>
  <si>
    <t>HTF</t>
    <phoneticPr fontId="1" type="noConversion"/>
  </si>
  <si>
    <t>site_code</t>
    <phoneticPr fontId="1" type="noConversion"/>
  </si>
  <si>
    <t>0-100</t>
  </si>
  <si>
    <t>0-100</t>
    <phoneticPr fontId="1" type="noConversion"/>
  </si>
  <si>
    <t>0-60</t>
    <phoneticPr fontId="1" type="noConversion"/>
  </si>
  <si>
    <t>0-80</t>
    <phoneticPr fontId="1" type="noConversion"/>
  </si>
  <si>
    <t>depth (cm)</t>
    <phoneticPr fontId="1" type="noConversion"/>
  </si>
  <si>
    <t>sand(%)</t>
    <phoneticPr fontId="10" type="noConversion"/>
  </si>
  <si>
    <t>silt(%)</t>
    <phoneticPr fontId="10" type="noConversion"/>
  </si>
  <si>
    <t>clay(%)</t>
    <phoneticPr fontId="10" type="noConversion"/>
  </si>
  <si>
    <t>ALF</t>
    <phoneticPr fontId="11" type="noConversion"/>
  </si>
  <si>
    <t>BJF</t>
    <phoneticPr fontId="11" type="noConversion"/>
  </si>
  <si>
    <t>BNF</t>
    <phoneticPr fontId="11" type="noConversion"/>
  </si>
  <si>
    <t>CBF</t>
    <phoneticPr fontId="11" type="noConversion"/>
  </si>
  <si>
    <t>DHF</t>
    <phoneticPr fontId="11" type="noConversion"/>
  </si>
  <si>
    <t>HSF</t>
    <phoneticPr fontId="11" type="noConversion"/>
  </si>
  <si>
    <t>HTF</t>
    <phoneticPr fontId="11" type="noConversion"/>
  </si>
  <si>
    <t>MXF</t>
    <phoneticPr fontId="11" type="noConversion"/>
  </si>
  <si>
    <t>SNF</t>
    <phoneticPr fontId="11" type="noConversion"/>
  </si>
  <si>
    <t>0-10</t>
  </si>
  <si>
    <t>10-20</t>
    <phoneticPr fontId="13" type="noConversion"/>
  </si>
  <si>
    <t>20-40</t>
  </si>
  <si>
    <t>40-60</t>
  </si>
  <si>
    <t>60-100</t>
  </si>
  <si>
    <t>BJF</t>
    <phoneticPr fontId="1" type="noConversion"/>
  </si>
  <si>
    <t xml:space="preserve"> 0-10               </t>
  </si>
  <si>
    <t xml:space="preserve"> 10-20              </t>
  </si>
  <si>
    <t xml:space="preserve"> 20-30              </t>
  </si>
  <si>
    <t xml:space="preserve"> 30-40              </t>
  </si>
  <si>
    <t xml:space="preserve">40-50               </t>
  </si>
  <si>
    <t xml:space="preserve"> 50-60              </t>
  </si>
  <si>
    <t xml:space="preserve">0-10                </t>
  </si>
  <si>
    <t xml:space="preserve">10-20               </t>
  </si>
  <si>
    <t xml:space="preserve">20-40               </t>
  </si>
  <si>
    <t xml:space="preserve">40-60               </t>
  </si>
  <si>
    <t xml:space="preserve">60-80               </t>
  </si>
  <si>
    <t xml:space="preserve">20-30               </t>
  </si>
  <si>
    <t xml:space="preserve">30-40               </t>
  </si>
  <si>
    <t xml:space="preserve">0-20                </t>
    <phoneticPr fontId="10" type="noConversion"/>
  </si>
  <si>
    <t xml:space="preserve">20-40               </t>
    <phoneticPr fontId="10" type="noConversion"/>
  </si>
  <si>
    <t xml:space="preserve">40-60               </t>
    <phoneticPr fontId="10" type="noConversion"/>
  </si>
  <si>
    <t xml:space="preserve">60-80               </t>
    <phoneticPr fontId="10" type="noConversion"/>
  </si>
  <si>
    <t xml:space="preserve">80-100              </t>
    <phoneticPr fontId="10" type="noConversion"/>
  </si>
  <si>
    <t xml:space="preserve">0-10                </t>
    <phoneticPr fontId="10" type="noConversion"/>
  </si>
  <si>
    <t xml:space="preserve">60-100              </t>
    <phoneticPr fontId="10" type="noConversion"/>
  </si>
  <si>
    <t>0-20</t>
    <phoneticPr fontId="1" type="noConversion"/>
  </si>
  <si>
    <t>0~10</t>
  </si>
  <si>
    <t>10~20</t>
  </si>
  <si>
    <t>20~40</t>
  </si>
  <si>
    <t>40~60</t>
  </si>
  <si>
    <t>60~100</t>
  </si>
  <si>
    <t xml:space="preserve">0-20                </t>
  </si>
  <si>
    <t xml:space="preserve">60-100              </t>
  </si>
  <si>
    <t>60-80</t>
  </si>
  <si>
    <t>80-100</t>
  </si>
  <si>
    <t>0-20</t>
  </si>
  <si>
    <t>10-42</t>
  </si>
  <si>
    <t>42-65</t>
  </si>
  <si>
    <t>65-130</t>
  </si>
  <si>
    <t>10-20</t>
    <phoneticPr fontId="1" type="noConversion"/>
  </si>
  <si>
    <t>soil bulk density(g/cm3)</t>
    <phoneticPr fontId="1" type="noConversion"/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</si>
  <si>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</si>
  <si>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</si>
  <si>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</si>
  <si>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</si>
  <si>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</si>
  <si>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</si>
  <si>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</si>
  <si>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</si>
  <si>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 xml:space="preserve">50-70               </t>
  </si>
  <si>
    <t xml:space="preserve">70-90               </t>
  </si>
  <si>
    <t xml:space="preserve">90-110              </t>
  </si>
  <si>
    <t xml:space="preserve">110-130             </t>
  </si>
  <si>
    <t xml:space="preserve">130-150             </t>
  </si>
  <si>
    <t>10-20</t>
  </si>
  <si>
    <t>0-10</t>
    <phoneticPr fontId="13" type="noConversion"/>
  </si>
  <si>
    <t>20-40</t>
    <phoneticPr fontId="13" type="noConversion"/>
  </si>
  <si>
    <t>40-60</t>
    <phoneticPr fontId="13" type="noConversion"/>
  </si>
  <si>
    <t>60-100</t>
    <phoneticPr fontId="13" type="noConversion"/>
  </si>
  <si>
    <t>BNF</t>
    <phoneticPr fontId="13" type="noConversion"/>
  </si>
  <si>
    <t xml:space="preserve">20-30               </t>
    <phoneticPr fontId="13" type="noConversion"/>
  </si>
  <si>
    <t xml:space="preserve">80-100              </t>
  </si>
  <si>
    <t xml:space="preserve">100-120             </t>
  </si>
  <si>
    <t>30-40</t>
    <phoneticPr fontId="13" type="noConversion"/>
  </si>
  <si>
    <t>CBF</t>
    <phoneticPr fontId="13" type="noConversion"/>
  </si>
  <si>
    <t>60-70</t>
    <phoneticPr fontId="13" type="noConversion"/>
  </si>
  <si>
    <t>DHF</t>
    <phoneticPr fontId="13" type="noConversion"/>
  </si>
  <si>
    <t>HTF</t>
    <phoneticPr fontId="13" type="noConversion"/>
  </si>
  <si>
    <t>HSF</t>
    <phoneticPr fontId="13" type="noConversion"/>
  </si>
  <si>
    <t>0-20</t>
    <phoneticPr fontId="13" type="noConversion"/>
  </si>
  <si>
    <t>MXF</t>
    <phoneticPr fontId="13" type="noConversion"/>
  </si>
  <si>
    <t xml:space="preserve">40-80               </t>
  </si>
  <si>
    <t>SNF</t>
    <phoneticPr fontId="13" type="noConversion"/>
  </si>
  <si>
    <r>
      <t xml:space="preserve">sampling depth </t>
    </r>
    <r>
      <rPr>
        <b/>
        <sz val="9"/>
        <rFont val="Times New Roman"/>
        <family val="1"/>
      </rPr>
      <t>(cm)</t>
    </r>
    <phoneticPr fontId="1" type="noConversion"/>
  </si>
  <si>
    <t>sampling depth (cm)</t>
    <phoneticPr fontId="1" type="noConversion"/>
  </si>
  <si>
    <t>SOM (g/kg)</t>
    <phoneticPr fontId="1" type="noConversion"/>
  </si>
  <si>
    <t>std</t>
    <phoneticPr fontId="1" type="noConversion"/>
  </si>
  <si>
    <t>0-20</t>
    <phoneticPr fontId="1" type="noConversion"/>
  </si>
  <si>
    <t>SOC (g C m-2)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</si>
</sst>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sz val="9"/>
      <name val="宋体"/>
      <family val="3"/>
      <charset val="134"/>
    </font>
    <font>
      <sz val="9"/>
      <name val="Times New Roman"/>
      <family val="2"/>
      <charset val="134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3"/>
    </font>
    <font>
      <b/>
      <sz val="10"/>
      <name val="Times New Roman"/>
      <family val="1"/>
    </font>
    <font>
      <sz val="10"/>
      <color theme="1"/>
      <name val="宋体"/>
      <family val="2"/>
      <charset val="134"/>
      <scheme val="minor"/>
    </font>
    <font>
      <sz val="10"/>
      <name val="Times New Roman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/>
    <xf numFmtId="0" fontId="6" fillId="0" borderId="0"/>
    <xf numFmtId="0" fontId="4" fillId="0" borderId="0"/>
    <xf numFmtId="0" fontId="4" fillId="0" borderId="0"/>
    <xf numFmtId="0" fontId="3" fillId="0" borderId="0"/>
  </cellStyleXfs>
  <cellXfs count="48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14" fillId="0" borderId="0" xfId="0" applyFont="1" applyBorder="1" applyAlignment="1">
      <alignment horizontal="left" vertical="center" wrapText="1"/>
    </xf>
    <xf numFmtId="177" fontId="14" fillId="0" borderId="0" xfId="0" applyNumberFormat="1" applyFont="1" applyBorder="1" applyAlignment="1">
      <alignment horizontal="left" vertical="center" wrapText="1"/>
    </xf>
    <xf numFmtId="58" fontId="14" fillId="0" borderId="0" xfId="0" quotePrefix="1" applyNumberFormat="1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/>
    </xf>
    <xf numFmtId="177" fontId="14" fillId="0" borderId="0" xfId="0" applyNumberFormat="1" applyFont="1" applyBorder="1" applyAlignment="1">
      <alignment horizontal="left" vertical="center"/>
    </xf>
    <xf numFmtId="58" fontId="14" fillId="0" borderId="0" xfId="0" quotePrefix="1" applyNumberFormat="1" applyFont="1" applyBorder="1" applyAlignment="1">
      <alignment horizontal="left" vertical="center"/>
    </xf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77" fontId="16" fillId="0" borderId="2" xfId="0" applyNumberFormat="1" applyFont="1" applyBorder="1" applyAlignment="1">
      <alignment horizontal="left" vertical="center"/>
    </xf>
    <xf numFmtId="0" fontId="0" fillId="0" borderId="0" xfId="0" applyNumberFormat="1" applyAlignment="1"/>
    <xf numFmtId="177" fontId="7" fillId="0" borderId="0" xfId="0" applyNumberFormat="1" applyFont="1" applyBorder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177" fontId="17" fillId="0" borderId="2" xfId="0" applyNumberFormat="1" applyFont="1" applyBorder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177" fontId="14" fillId="0" borderId="0" xfId="0" applyNumberFormat="1" applyFont="1" applyBorder="1" applyAlignment="1">
      <alignment horizontal="left"/>
    </xf>
    <xf numFmtId="0" fontId="14" fillId="0" borderId="0" xfId="6" quotePrefix="1" applyFont="1" applyBorder="1" applyAlignment="1">
      <alignment horizontal="left"/>
    </xf>
    <xf numFmtId="49" fontId="14" fillId="0" borderId="0" xfId="0" applyNumberFormat="1" applyFont="1" applyBorder="1" applyAlignment="1">
      <alignment horizontal="left" vertical="center"/>
    </xf>
    <xf numFmtId="0" fontId="14" fillId="0" borderId="0" xfId="6" quotePrefix="1" applyFont="1" applyBorder="1" applyAlignment="1">
      <alignment horizontal="left" vertical="center"/>
    </xf>
    <xf numFmtId="0" fontId="18" fillId="0" borderId="0" xfId="0" applyNumberFormat="1" applyFont="1" applyAlignment="1"/>
    <xf numFmtId="0" fontId="14" fillId="0" borderId="0" xfId="6" applyFont="1" applyBorder="1" applyAlignment="1">
      <alignment horizontal="left"/>
    </xf>
    <xf numFmtId="0" fontId="20" fillId="0" borderId="0" xfId="0" applyFont="1">
      <alignment vertical="center"/>
    </xf>
    <xf numFmtId="0" fontId="20" fillId="0" borderId="0" xfId="0" applyFont="1" applyBorder="1" applyAlignment="1">
      <alignment vertical="center"/>
    </xf>
    <xf numFmtId="177" fontId="8" fillId="0" borderId="1" xfId="0" applyNumberFormat="1" applyFont="1" applyBorder="1" applyAlignment="1">
      <alignment horizontal="center" vertical="center"/>
    </xf>
  </cellXfs>
  <cellStyles count="9">
    <cellStyle name="常规" xfId="0" builtinId="0"/>
    <cellStyle name="常规 2" xfId="2" xr:uid="{00000000-0005-0000-0000-000001000000}"/>
    <cellStyle name="常规 2 2" xfId="5" xr:uid="{A372C3C4-158C-4953-962E-91EBACF3E960}"/>
    <cellStyle name="常规 3" xfId="1" xr:uid="{00000000-0005-0000-0000-000002000000}"/>
    <cellStyle name="常规 3 2" xfId="3" xr:uid="{00000000-0005-0000-0000-000003000000}"/>
    <cellStyle name="常规 3 2 2" xfId="6" xr:uid="{EFEB8A18-27A2-4BB4-A7D0-AABC226C012F}"/>
    <cellStyle name="常规 3 4" xfId="7" xr:uid="{6EF2EB25-D2A4-4334-BD96-DED468C2453A}"/>
    <cellStyle name="常规 4" xfId="4" xr:uid="{AD37BCDE-DF87-472E-B531-5C0411576646}"/>
    <cellStyle name="常规 5" xfId="8" xr:uid="{03EF14FB-7F6A-4618-8557-D725CB64B1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1150;&#20844;&#23460;&#30005;&#33041;D&#30424;&#22791;&#20221;/gr/DALEC&#30899;&#24211;&#27169;&#22411;/&#25968;&#25454;/CERN/&#22303;&#22756;&#25968;&#25454;/02%20&#26862;&#26519;&#31532;&#19968;&#22871;&#25351;&#26631;-&#21696;&#29282;&#23665;&#31449;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B01"/>
      <sheetName val="FB02"/>
      <sheetName val="FB03"/>
      <sheetName val="FB04"/>
      <sheetName val="FB06"/>
      <sheetName val="FB07"/>
      <sheetName val="FB08"/>
      <sheetName val="FB09"/>
      <sheetName val="forest_plot"/>
      <sheetName val="referrenc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C1" t="str">
            <v>station_code</v>
          </cell>
          <cell r="E1" t="str">
            <v>样地代码</v>
          </cell>
        </row>
        <row r="2">
          <cell r="C2" t="str">
            <v>BJF</v>
          </cell>
        </row>
        <row r="3">
          <cell r="C3" t="str">
            <v>BJF</v>
          </cell>
        </row>
        <row r="4">
          <cell r="C4" t="str">
            <v>BJF</v>
          </cell>
        </row>
        <row r="5">
          <cell r="C5" t="str">
            <v>BNF</v>
          </cell>
        </row>
        <row r="6">
          <cell r="C6" t="str">
            <v>BNF</v>
          </cell>
        </row>
        <row r="7">
          <cell r="C7" t="str">
            <v>BNF</v>
          </cell>
        </row>
        <row r="8">
          <cell r="C8" t="str">
            <v>BNF</v>
          </cell>
        </row>
        <row r="9">
          <cell r="C9" t="str">
            <v>BNF</v>
          </cell>
        </row>
        <row r="10">
          <cell r="C10" t="str">
            <v>BNF</v>
          </cell>
        </row>
        <row r="11">
          <cell r="C11" t="str">
            <v>BNF</v>
          </cell>
        </row>
        <row r="12">
          <cell r="C12" t="str">
            <v>BNF</v>
          </cell>
        </row>
        <row r="13">
          <cell r="C13" t="str">
            <v>BNF</v>
          </cell>
        </row>
        <row r="14">
          <cell r="C14" t="str">
            <v>BNF</v>
          </cell>
        </row>
        <row r="15">
          <cell r="C15" t="str">
            <v>CBF</v>
          </cell>
        </row>
        <row r="16">
          <cell r="C16" t="str">
            <v>CBF</v>
          </cell>
        </row>
        <row r="17">
          <cell r="C17" t="str">
            <v>CBF</v>
          </cell>
        </row>
        <row r="18">
          <cell r="C18" t="str">
            <v>CBF</v>
          </cell>
        </row>
        <row r="19">
          <cell r="C19" t="str">
            <v>CBF</v>
          </cell>
        </row>
        <row r="20">
          <cell r="C20" t="str">
            <v>CBF</v>
          </cell>
        </row>
        <row r="21">
          <cell r="C21" t="str">
            <v>DHF</v>
          </cell>
        </row>
        <row r="22">
          <cell r="C22" t="str">
            <v>DHF</v>
          </cell>
        </row>
        <row r="23">
          <cell r="C23" t="str">
            <v>DHF</v>
          </cell>
        </row>
        <row r="24">
          <cell r="C24" t="str">
            <v>DHF</v>
          </cell>
        </row>
        <row r="25">
          <cell r="C25" t="str">
            <v>GGF</v>
          </cell>
        </row>
        <row r="26">
          <cell r="C26" t="str">
            <v>GGF</v>
          </cell>
        </row>
        <row r="27">
          <cell r="C27" t="str">
            <v>GGF</v>
          </cell>
        </row>
        <row r="28">
          <cell r="C28" t="str">
            <v>GGF</v>
          </cell>
        </row>
        <row r="29">
          <cell r="C29" t="str">
            <v>GGF</v>
          </cell>
        </row>
        <row r="30">
          <cell r="C30" t="str">
            <v>GGF</v>
          </cell>
        </row>
        <row r="31">
          <cell r="C31" t="str">
            <v>HSF</v>
          </cell>
        </row>
        <row r="32">
          <cell r="C32" t="str">
            <v>HSF</v>
          </cell>
        </row>
        <row r="33">
          <cell r="C33" t="str">
            <v>HSF</v>
          </cell>
        </row>
        <row r="34">
          <cell r="C34" t="str">
            <v>HSF</v>
          </cell>
        </row>
        <row r="35">
          <cell r="C35" t="str">
            <v>HSF</v>
          </cell>
        </row>
        <row r="36">
          <cell r="C36" t="str">
            <v>HSF</v>
          </cell>
        </row>
        <row r="37">
          <cell r="C37" t="str">
            <v>HTF</v>
          </cell>
        </row>
        <row r="38">
          <cell r="C38" t="str">
            <v>HTF</v>
          </cell>
        </row>
        <row r="39">
          <cell r="C39" t="str">
            <v>HTF</v>
          </cell>
        </row>
        <row r="40">
          <cell r="C40" t="str">
            <v>HTF</v>
          </cell>
        </row>
        <row r="41">
          <cell r="C41" t="str">
            <v>HTF</v>
          </cell>
        </row>
        <row r="42">
          <cell r="C42" t="str">
            <v>HTF</v>
          </cell>
        </row>
        <row r="43">
          <cell r="C43" t="str">
            <v>HTF</v>
          </cell>
        </row>
        <row r="44">
          <cell r="C44" t="str">
            <v>HTF</v>
          </cell>
        </row>
        <row r="45">
          <cell r="C45" t="str">
            <v>HTF</v>
          </cell>
        </row>
        <row r="46">
          <cell r="C46" t="str">
            <v>HTF</v>
          </cell>
        </row>
        <row r="47">
          <cell r="C47" t="str">
            <v>HTF</v>
          </cell>
        </row>
        <row r="48">
          <cell r="C48" t="str">
            <v>HTF</v>
          </cell>
        </row>
        <row r="49">
          <cell r="C49" t="str">
            <v>HTF</v>
          </cell>
        </row>
        <row r="50">
          <cell r="C50" t="str">
            <v>HTF</v>
          </cell>
        </row>
        <row r="51">
          <cell r="C51" t="str">
            <v>HTF</v>
          </cell>
        </row>
        <row r="52">
          <cell r="C52" t="str">
            <v>HTF</v>
          </cell>
        </row>
        <row r="53">
          <cell r="C53" t="str">
            <v>HTF</v>
          </cell>
        </row>
        <row r="54">
          <cell r="C54" t="str">
            <v>HTF</v>
          </cell>
        </row>
        <row r="55">
          <cell r="C55" t="str">
            <v>HTF</v>
          </cell>
        </row>
        <row r="56">
          <cell r="C56" t="str">
            <v>HTF</v>
          </cell>
        </row>
        <row r="57">
          <cell r="C57" t="str">
            <v>HTF</v>
          </cell>
        </row>
        <row r="58">
          <cell r="C58" t="str">
            <v>HTF</v>
          </cell>
        </row>
        <row r="59">
          <cell r="C59" t="str">
            <v>HTF</v>
          </cell>
        </row>
        <row r="60">
          <cell r="C60" t="str">
            <v>HTF</v>
          </cell>
        </row>
        <row r="61">
          <cell r="C61" t="str">
            <v>ALF</v>
          </cell>
        </row>
        <row r="62">
          <cell r="C62" t="str">
            <v>ALF</v>
          </cell>
        </row>
        <row r="63">
          <cell r="C63" t="str">
            <v>ALF</v>
          </cell>
        </row>
        <row r="64">
          <cell r="C64" t="str">
            <v>ALF</v>
          </cell>
        </row>
        <row r="65">
          <cell r="C65" t="str">
            <v>MXF</v>
          </cell>
        </row>
        <row r="66">
          <cell r="C66" t="str">
            <v>MXF</v>
          </cell>
        </row>
        <row r="67">
          <cell r="C67" t="str">
            <v>QYF</v>
          </cell>
        </row>
        <row r="68">
          <cell r="C68" t="str">
            <v>QYF</v>
          </cell>
        </row>
        <row r="69">
          <cell r="C69" t="str">
            <v>QYF</v>
          </cell>
        </row>
        <row r="70">
          <cell r="C70" t="str">
            <v>QYF</v>
          </cell>
        </row>
        <row r="71">
          <cell r="C71" t="str">
            <v>QYF</v>
          </cell>
        </row>
        <row r="72">
          <cell r="C72" t="str">
            <v>QYF</v>
          </cell>
        </row>
        <row r="73">
          <cell r="C73" t="str">
            <v>QYF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zoomScaleNormal="100" workbookViewId="0"/>
  </sheetViews>
  <sheetFormatPr defaultColWidth="9" defaultRowHeight="15" x14ac:dyDescent="0.15"/>
  <cols>
    <col min="1" max="1" width="9" style="1"/>
    <col min="2" max="3" width="9" style="7"/>
    <col min="4" max="5" width="9" style="30"/>
    <col min="6" max="6" width="9" style="9"/>
    <col min="7" max="16384" width="9" style="1"/>
  </cols>
  <sheetData>
    <row r="1" spans="1:6" x14ac:dyDescent="0.15">
      <c r="A1" s="8" t="s">
        <v>18</v>
      </c>
      <c r="B1" s="8" t="s">
        <v>0</v>
      </c>
      <c r="C1" s="8" t="s">
        <v>1</v>
      </c>
      <c r="D1" s="47" t="s">
        <v>115</v>
      </c>
      <c r="E1" s="47" t="s">
        <v>113</v>
      </c>
      <c r="F1" s="8" t="s">
        <v>23</v>
      </c>
    </row>
    <row r="2" spans="1:6" x14ac:dyDescent="0.25">
      <c r="A2" s="2" t="s">
        <v>11</v>
      </c>
      <c r="B2" s="3">
        <v>2005</v>
      </c>
      <c r="C2" s="4">
        <v>9</v>
      </c>
      <c r="D2" s="29">
        <v>28665.919999999998</v>
      </c>
      <c r="E2" s="29">
        <v>3720.6808859389666</v>
      </c>
      <c r="F2" s="6" t="s">
        <v>20</v>
      </c>
    </row>
    <row r="3" spans="1:6" x14ac:dyDescent="0.25">
      <c r="A3" s="2" t="s">
        <v>15</v>
      </c>
      <c r="B3" s="3">
        <v>2015</v>
      </c>
      <c r="C3" s="4">
        <v>10</v>
      </c>
      <c r="D3" s="29">
        <v>31457.996759921054</v>
      </c>
      <c r="E3" s="29">
        <v>4180.617485894134</v>
      </c>
      <c r="F3" s="6" t="s">
        <v>20</v>
      </c>
    </row>
    <row r="4" spans="1:6" x14ac:dyDescent="0.25">
      <c r="A4" s="2" t="s">
        <v>2</v>
      </c>
      <c r="B4" s="3">
        <v>2002</v>
      </c>
      <c r="C4" s="4">
        <v>7</v>
      </c>
      <c r="D4" s="29">
        <v>3120.5740000000001</v>
      </c>
      <c r="E4" s="29">
        <v>614.18913666998321</v>
      </c>
      <c r="F4" s="6" t="s">
        <v>21</v>
      </c>
    </row>
    <row r="5" spans="1:6" x14ac:dyDescent="0.25">
      <c r="A5" s="2" t="s">
        <v>2</v>
      </c>
      <c r="B5" s="3">
        <v>2005</v>
      </c>
      <c r="C5" s="4">
        <v>8</v>
      </c>
      <c r="D5" s="29">
        <v>3890.7559999999999</v>
      </c>
      <c r="E5" s="29">
        <v>274.58672997577429</v>
      </c>
      <c r="F5" s="6" t="s">
        <v>21</v>
      </c>
    </row>
    <row r="6" spans="1:6" x14ac:dyDescent="0.25">
      <c r="A6" s="2" t="s">
        <v>2</v>
      </c>
      <c r="B6" s="3">
        <v>2010</v>
      </c>
      <c r="C6" s="4">
        <v>8</v>
      </c>
      <c r="D6" s="29">
        <v>4670.6899999999996</v>
      </c>
      <c r="E6" s="29">
        <v>664.07484269588281</v>
      </c>
      <c r="F6" s="6" t="s">
        <v>21</v>
      </c>
    </row>
    <row r="7" spans="1:6" x14ac:dyDescent="0.25">
      <c r="A7" s="5" t="s">
        <v>12</v>
      </c>
      <c r="B7" s="3">
        <v>2005</v>
      </c>
      <c r="C7" s="4">
        <v>11</v>
      </c>
      <c r="D7" s="29">
        <v>9644.1663399999998</v>
      </c>
      <c r="E7" s="29">
        <v>519.4028725373015</v>
      </c>
      <c r="F7" s="6" t="s">
        <v>19</v>
      </c>
    </row>
    <row r="8" spans="1:6" x14ac:dyDescent="0.25">
      <c r="A8" s="5" t="s">
        <v>12</v>
      </c>
      <c r="B8" s="3">
        <v>2010</v>
      </c>
      <c r="C8" s="4">
        <v>11</v>
      </c>
      <c r="D8" s="29">
        <v>9877.7699111111106</v>
      </c>
      <c r="E8" s="29">
        <v>307.37324961474701</v>
      </c>
      <c r="F8" s="6" t="s">
        <v>19</v>
      </c>
    </row>
    <row r="9" spans="1:6" x14ac:dyDescent="0.25">
      <c r="A9" s="2" t="s">
        <v>3</v>
      </c>
      <c r="B9" s="3">
        <v>2015</v>
      </c>
      <c r="C9" s="4">
        <v>10</v>
      </c>
      <c r="D9" s="29">
        <v>10651.012549199999</v>
      </c>
      <c r="E9" s="29">
        <v>608.57508727525135</v>
      </c>
      <c r="F9" s="6" t="s">
        <v>19</v>
      </c>
    </row>
    <row r="10" spans="1:6" x14ac:dyDescent="0.25">
      <c r="A10" s="5" t="s">
        <v>16</v>
      </c>
      <c r="B10" s="3">
        <v>2005</v>
      </c>
      <c r="C10" s="4">
        <v>9</v>
      </c>
      <c r="D10" s="29">
        <v>7726.5221999999994</v>
      </c>
      <c r="E10" s="29">
        <f>265.011652161336*3</f>
        <v>795.03495648400792</v>
      </c>
      <c r="F10" s="6" t="s">
        <v>19</v>
      </c>
    </row>
    <row r="11" spans="1:6" x14ac:dyDescent="0.25">
      <c r="A11" s="5" t="s">
        <v>16</v>
      </c>
      <c r="B11" s="3">
        <v>2010</v>
      </c>
      <c r="C11" s="4">
        <v>10</v>
      </c>
      <c r="D11" s="29">
        <v>8896.7205333333332</v>
      </c>
      <c r="E11" s="29">
        <f>265.011652161336*3</f>
        <v>795.03495648400792</v>
      </c>
      <c r="F11" s="6" t="s">
        <v>19</v>
      </c>
    </row>
    <row r="12" spans="1:6" x14ac:dyDescent="0.25">
      <c r="A12" s="2" t="s">
        <v>4</v>
      </c>
      <c r="B12" s="3">
        <v>2005</v>
      </c>
      <c r="C12" s="4">
        <v>10</v>
      </c>
      <c r="D12" s="29">
        <v>9995.2659346505698</v>
      </c>
      <c r="E12" s="29">
        <v>1035.3776918538242</v>
      </c>
      <c r="F12" s="6" t="s">
        <v>22</v>
      </c>
    </row>
    <row r="13" spans="1:6" x14ac:dyDescent="0.25">
      <c r="A13" s="5" t="s">
        <v>5</v>
      </c>
      <c r="B13" s="3">
        <v>2010</v>
      </c>
      <c r="C13" s="4">
        <v>10</v>
      </c>
      <c r="D13" s="29">
        <v>9547.9704914257782</v>
      </c>
      <c r="E13" s="29">
        <v>804.61311536184667</v>
      </c>
      <c r="F13" s="6" t="s">
        <v>22</v>
      </c>
    </row>
    <row r="14" spans="1:6" x14ac:dyDescent="0.25">
      <c r="A14" s="5" t="s">
        <v>5</v>
      </c>
      <c r="B14" s="3">
        <v>2015</v>
      </c>
      <c r="C14" s="4">
        <v>10</v>
      </c>
      <c r="D14" s="29">
        <v>9174.1569108546664</v>
      </c>
      <c r="E14" s="29">
        <v>697.85806841639464</v>
      </c>
      <c r="F14" s="6" t="s">
        <v>22</v>
      </c>
    </row>
    <row r="15" spans="1:6" x14ac:dyDescent="0.25">
      <c r="A15" s="2" t="s">
        <v>14</v>
      </c>
      <c r="B15" s="3">
        <v>2005</v>
      </c>
      <c r="C15" s="4">
        <v>9</v>
      </c>
      <c r="D15" s="29">
        <v>8125.6607999999997</v>
      </c>
      <c r="E15" s="29">
        <v>592.1154700741979</v>
      </c>
      <c r="F15" s="6" t="s">
        <v>19</v>
      </c>
    </row>
    <row r="16" spans="1:6" x14ac:dyDescent="0.25">
      <c r="A16" s="5" t="s">
        <v>7</v>
      </c>
      <c r="B16" s="3">
        <v>2008</v>
      </c>
      <c r="C16" s="4">
        <v>7</v>
      </c>
      <c r="D16" s="29">
        <v>8813.848</v>
      </c>
      <c r="E16" s="29">
        <v>733.33228868769629</v>
      </c>
      <c r="F16" s="6" t="s">
        <v>19</v>
      </c>
    </row>
    <row r="17" spans="1:6" x14ac:dyDescent="0.25">
      <c r="A17" s="5" t="s">
        <v>17</v>
      </c>
      <c r="B17" s="3">
        <v>2005</v>
      </c>
      <c r="C17" s="4">
        <v>10</v>
      </c>
      <c r="D17" s="29">
        <v>7272.6270000000004</v>
      </c>
      <c r="E17" s="29">
        <v>546.10103943647937</v>
      </c>
      <c r="F17" s="6" t="s">
        <v>22</v>
      </c>
    </row>
    <row r="18" spans="1:6" x14ac:dyDescent="0.25">
      <c r="A18" s="2" t="s">
        <v>6</v>
      </c>
      <c r="B18" s="3">
        <v>2010</v>
      </c>
      <c r="C18" s="4">
        <v>11</v>
      </c>
      <c r="D18" s="29">
        <v>7864.835</v>
      </c>
      <c r="E18" s="29">
        <v>1172.1156083542564</v>
      </c>
      <c r="F18" s="6" t="s">
        <v>22</v>
      </c>
    </row>
    <row r="19" spans="1:6" x14ac:dyDescent="0.25">
      <c r="A19" s="5" t="s">
        <v>17</v>
      </c>
      <c r="B19" s="3">
        <v>2015</v>
      </c>
      <c r="C19" s="4">
        <v>12</v>
      </c>
      <c r="D19" s="29">
        <v>9283.5139830000007</v>
      </c>
      <c r="E19" s="29">
        <v>1114.1845710249574</v>
      </c>
      <c r="F19" s="6" t="s">
        <v>22</v>
      </c>
    </row>
    <row r="20" spans="1:6" x14ac:dyDescent="0.25">
      <c r="A20" s="5" t="s">
        <v>9</v>
      </c>
      <c r="B20" s="3">
        <v>2005</v>
      </c>
      <c r="C20" s="4">
        <v>9</v>
      </c>
      <c r="D20" s="29">
        <v>13321.306432444422</v>
      </c>
      <c r="E20" s="29">
        <v>1514.9510654760975</v>
      </c>
      <c r="F20" s="6" t="s">
        <v>19</v>
      </c>
    </row>
    <row r="21" spans="1:6" x14ac:dyDescent="0.25">
      <c r="A21" s="2" t="s">
        <v>8</v>
      </c>
      <c r="B21" s="3">
        <v>2010</v>
      </c>
      <c r="C21" s="4">
        <v>9</v>
      </c>
      <c r="D21" s="29">
        <v>14890.769432000001</v>
      </c>
      <c r="E21" s="29">
        <v>1662.5151467030278</v>
      </c>
      <c r="F21" s="6" t="s">
        <v>19</v>
      </c>
    </row>
    <row r="22" spans="1:6" x14ac:dyDescent="0.25">
      <c r="A22" s="5" t="s">
        <v>9</v>
      </c>
      <c r="B22" s="3">
        <v>2015</v>
      </c>
      <c r="C22" s="4">
        <v>9</v>
      </c>
      <c r="D22" s="29">
        <v>16126.68</v>
      </c>
      <c r="E22" s="29">
        <v>1196.1748774414098</v>
      </c>
      <c r="F22" s="6" t="s">
        <v>19</v>
      </c>
    </row>
    <row r="23" spans="1:6" x14ac:dyDescent="0.25">
      <c r="A23" s="5" t="s">
        <v>13</v>
      </c>
      <c r="B23" s="3">
        <v>2003</v>
      </c>
      <c r="C23" s="4">
        <v>8</v>
      </c>
      <c r="D23" s="29">
        <v>5889</v>
      </c>
      <c r="E23" s="29"/>
      <c r="F23" s="6" t="s">
        <v>19</v>
      </c>
    </row>
    <row r="24" spans="1:6" x14ac:dyDescent="0.25">
      <c r="A24" s="2" t="s">
        <v>13</v>
      </c>
      <c r="B24" s="3">
        <v>2005</v>
      </c>
      <c r="C24" s="4">
        <v>7</v>
      </c>
      <c r="D24" s="29">
        <v>6339</v>
      </c>
      <c r="E24" s="29"/>
      <c r="F24" s="6" t="s">
        <v>19</v>
      </c>
    </row>
    <row r="25" spans="1:6" x14ac:dyDescent="0.25">
      <c r="A25" s="5" t="s">
        <v>10</v>
      </c>
      <c r="B25" s="3">
        <v>2010</v>
      </c>
      <c r="C25" s="4">
        <v>8</v>
      </c>
      <c r="D25" s="29">
        <v>13193.31</v>
      </c>
      <c r="E25" s="29">
        <v>1163.7018236014346</v>
      </c>
      <c r="F25" s="6" t="s">
        <v>19</v>
      </c>
    </row>
    <row r="26" spans="1:6" x14ac:dyDescent="0.25">
      <c r="A26" s="5" t="s">
        <v>10</v>
      </c>
      <c r="B26" s="3">
        <v>2015</v>
      </c>
      <c r="C26" s="4">
        <v>8</v>
      </c>
      <c r="D26" s="29">
        <v>13517.69</v>
      </c>
      <c r="E26" s="29">
        <v>1011.0700653389886</v>
      </c>
      <c r="F26" s="6" t="s">
        <v>19</v>
      </c>
    </row>
  </sheetData>
  <sortState ref="A2:D29">
    <sortCondition ref="A1"/>
  </sortState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EAEB-3643-43A5-AD00-8110EADEC63D}">
  <dimension ref="A1:D10"/>
  <sheetViews>
    <sheetView workbookViewId="0"/>
  </sheetViews>
  <sheetFormatPr defaultRowHeight="13.5" x14ac:dyDescent="0.15"/>
  <sheetData>
    <row r="1" spans="1:4" ht="14.25" x14ac:dyDescent="0.15">
      <c r="A1" s="11" t="s">
        <v>18</v>
      </c>
      <c r="B1" s="12" t="s">
        <v>24</v>
      </c>
      <c r="C1" s="12" t="s">
        <v>25</v>
      </c>
      <c r="D1" s="12" t="s">
        <v>26</v>
      </c>
    </row>
    <row r="2" spans="1:4" ht="15.75" x14ac:dyDescent="0.15">
      <c r="A2" s="1" t="s">
        <v>27</v>
      </c>
      <c r="B2" s="10">
        <v>39.787657142857149</v>
      </c>
      <c r="C2" s="10">
        <v>42.141833333333338</v>
      </c>
      <c r="D2" s="10">
        <v>18.070476190476192</v>
      </c>
    </row>
    <row r="3" spans="1:4" ht="15.75" x14ac:dyDescent="0.15">
      <c r="A3" s="1" t="s">
        <v>28</v>
      </c>
      <c r="B3" s="10">
        <v>31.816666666666663</v>
      </c>
      <c r="C3" s="10">
        <v>45.227777777777789</v>
      </c>
      <c r="D3" s="10">
        <v>23.101851851851855</v>
      </c>
    </row>
    <row r="4" spans="1:4" ht="15.75" x14ac:dyDescent="0.15">
      <c r="A4" s="1" t="s">
        <v>29</v>
      </c>
      <c r="B4" s="10">
        <v>51.487533333333339</v>
      </c>
      <c r="C4" s="10">
        <v>23.121866666666666</v>
      </c>
      <c r="D4" s="10">
        <v>25.390599999999999</v>
      </c>
    </row>
    <row r="5" spans="1:4" ht="15.75" x14ac:dyDescent="0.15">
      <c r="A5" s="1" t="s">
        <v>30</v>
      </c>
      <c r="B5" s="10">
        <v>9.9160000000000004</v>
      </c>
      <c r="C5" s="10">
        <v>55.93066666666666</v>
      </c>
      <c r="D5" s="10">
        <v>33.375333333333337</v>
      </c>
    </row>
    <row r="6" spans="1:4" ht="15.75" x14ac:dyDescent="0.15">
      <c r="A6" s="1" t="s">
        <v>31</v>
      </c>
      <c r="B6" s="10">
        <v>21.497533333333333</v>
      </c>
      <c r="C6" s="10">
        <v>58.7</v>
      </c>
      <c r="D6" s="10">
        <v>17.766666666666666</v>
      </c>
    </row>
    <row r="7" spans="1:4" ht="15.75" x14ac:dyDescent="0.15">
      <c r="A7" s="1" t="s">
        <v>32</v>
      </c>
      <c r="B7" s="10">
        <v>45.315111111111115</v>
      </c>
      <c r="C7" s="10">
        <v>13.379111111111113</v>
      </c>
      <c r="D7" s="10">
        <v>41.305722222222222</v>
      </c>
    </row>
    <row r="8" spans="1:4" ht="15.75" x14ac:dyDescent="0.15">
      <c r="A8" s="1" t="s">
        <v>33</v>
      </c>
      <c r="B8" s="10">
        <v>6.2994639274220185</v>
      </c>
      <c r="C8" s="10">
        <v>46.073089746994967</v>
      </c>
      <c r="D8" s="10">
        <v>47.627446325583009</v>
      </c>
    </row>
    <row r="9" spans="1:4" ht="15.75" x14ac:dyDescent="0.15">
      <c r="A9" s="1" t="s">
        <v>34</v>
      </c>
      <c r="B9" s="10">
        <v>29.266866666666669</v>
      </c>
      <c r="C9" s="10">
        <v>51.595866666666666</v>
      </c>
      <c r="D9" s="10">
        <v>19.137133333333331</v>
      </c>
    </row>
    <row r="10" spans="1:4" ht="15.75" x14ac:dyDescent="0.15">
      <c r="A10" s="1" t="s">
        <v>35</v>
      </c>
      <c r="B10" s="10">
        <v>18.32</v>
      </c>
      <c r="C10" s="10">
        <v>74.569999999999993</v>
      </c>
      <c r="D10" s="10">
        <v>7.12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9D25-43DA-4D5F-8B27-579D1B39D2D5}">
  <dimension ref="A1:F148"/>
  <sheetViews>
    <sheetView topLeftCell="A73" zoomScaleNormal="100" workbookViewId="0">
      <selection activeCell="D143" sqref="D143"/>
    </sheetView>
  </sheetViews>
  <sheetFormatPr defaultRowHeight="12.75" x14ac:dyDescent="0.15"/>
  <cols>
    <col min="1" max="1" width="9" style="45"/>
    <col min="2" max="2" width="9" style="16"/>
    <col min="3" max="3" width="15.625" style="16" customWidth="1"/>
    <col min="4" max="5" width="13" style="17" customWidth="1"/>
    <col min="6" max="16384" width="9" style="33"/>
  </cols>
  <sheetData>
    <row r="1" spans="1:5" x14ac:dyDescent="0.15">
      <c r="A1" s="31" t="s">
        <v>18</v>
      </c>
      <c r="B1" s="31" t="s">
        <v>0</v>
      </c>
      <c r="C1" s="31" t="s">
        <v>111</v>
      </c>
      <c r="D1" s="32" t="s">
        <v>112</v>
      </c>
      <c r="E1" s="32" t="s">
        <v>113</v>
      </c>
    </row>
    <row r="2" spans="1:5" x14ac:dyDescent="0.15">
      <c r="A2" s="16" t="s">
        <v>11</v>
      </c>
      <c r="B2" s="34">
        <v>2005</v>
      </c>
      <c r="C2" s="16" t="s">
        <v>36</v>
      </c>
      <c r="D2" s="17">
        <v>210.4</v>
      </c>
      <c r="E2" s="17">
        <v>45.988611426660583</v>
      </c>
    </row>
    <row r="3" spans="1:5" x14ac:dyDescent="0.15">
      <c r="B3" s="35">
        <v>2005</v>
      </c>
      <c r="C3" s="18" t="s">
        <v>37</v>
      </c>
      <c r="D3" s="17">
        <v>142</v>
      </c>
      <c r="E3" s="17">
        <v>29.74344265468244</v>
      </c>
    </row>
    <row r="4" spans="1:5" x14ac:dyDescent="0.15">
      <c r="B4" s="36">
        <v>2005</v>
      </c>
      <c r="C4" s="13" t="s">
        <v>38</v>
      </c>
      <c r="D4" s="14">
        <v>101.6</v>
      </c>
      <c r="E4" s="14">
        <v>26.469254401501953</v>
      </c>
    </row>
    <row r="5" spans="1:5" x14ac:dyDescent="0.15">
      <c r="B5" s="36">
        <v>2005</v>
      </c>
      <c r="C5" s="13" t="s">
        <v>39</v>
      </c>
      <c r="D5" s="14">
        <v>70.5</v>
      </c>
      <c r="E5" s="14">
        <v>24.96443184097846</v>
      </c>
    </row>
    <row r="6" spans="1:5" x14ac:dyDescent="0.15">
      <c r="B6" s="35">
        <v>2005</v>
      </c>
      <c r="C6" s="16" t="s">
        <v>40</v>
      </c>
      <c r="D6" s="17">
        <v>51.1</v>
      </c>
      <c r="E6" s="17">
        <v>15.201394046349199</v>
      </c>
    </row>
    <row r="7" spans="1:5" x14ac:dyDescent="0.2">
      <c r="B7" s="37">
        <v>2010</v>
      </c>
      <c r="C7" s="16" t="s">
        <v>36</v>
      </c>
      <c r="D7" s="17">
        <v>243.23500000000001</v>
      </c>
      <c r="E7" s="17">
        <v>16.4158347335736</v>
      </c>
    </row>
    <row r="8" spans="1:5" x14ac:dyDescent="0.2">
      <c r="B8" s="37">
        <v>2010</v>
      </c>
      <c r="C8" s="18" t="s">
        <v>37</v>
      </c>
      <c r="D8" s="17">
        <v>198.9316666666667</v>
      </c>
      <c r="E8" s="17">
        <v>21.887379392395701</v>
      </c>
    </row>
    <row r="9" spans="1:5" x14ac:dyDescent="0.2">
      <c r="B9" s="37">
        <v>2010</v>
      </c>
      <c r="C9" s="13" t="s">
        <v>38</v>
      </c>
      <c r="D9" s="17">
        <v>157.70833333333331</v>
      </c>
      <c r="E9" s="17">
        <v>28.232621144106801</v>
      </c>
    </row>
    <row r="10" spans="1:5" x14ac:dyDescent="0.2">
      <c r="B10" s="37">
        <v>2010</v>
      </c>
      <c r="C10" s="13" t="s">
        <v>39</v>
      </c>
      <c r="D10" s="17">
        <v>92.001666666666694</v>
      </c>
      <c r="E10" s="17">
        <v>17.507652517304201</v>
      </c>
    </row>
    <row r="11" spans="1:5" x14ac:dyDescent="0.2">
      <c r="B11" s="37">
        <v>2010</v>
      </c>
      <c r="C11" s="16" t="s">
        <v>40</v>
      </c>
      <c r="D11" s="17">
        <v>44.373333333333335</v>
      </c>
      <c r="E11" s="17">
        <v>10.028728068238101</v>
      </c>
    </row>
    <row r="12" spans="1:5" x14ac:dyDescent="0.2">
      <c r="B12" s="38">
        <v>2015</v>
      </c>
      <c r="C12" s="16" t="s">
        <v>36</v>
      </c>
      <c r="D12" s="17">
        <v>223.99</v>
      </c>
      <c r="E12" s="17">
        <v>20.252429483891621</v>
      </c>
    </row>
    <row r="13" spans="1:5" x14ac:dyDescent="0.2">
      <c r="B13" s="38">
        <v>2015</v>
      </c>
      <c r="C13" s="18" t="s">
        <v>37</v>
      </c>
      <c r="D13" s="17">
        <v>116.79666666666667</v>
      </c>
      <c r="E13" s="17">
        <v>25.185460752849824</v>
      </c>
    </row>
    <row r="14" spans="1:5" x14ac:dyDescent="0.2">
      <c r="B14" s="38">
        <v>2015</v>
      </c>
      <c r="C14" s="13" t="s">
        <v>38</v>
      </c>
      <c r="D14" s="17">
        <v>88.233333333333348</v>
      </c>
      <c r="E14" s="17">
        <v>15.527827708128727</v>
      </c>
    </row>
    <row r="15" spans="1:5" x14ac:dyDescent="0.2">
      <c r="B15" s="38">
        <v>2015</v>
      </c>
      <c r="C15" s="13" t="s">
        <v>39</v>
      </c>
      <c r="D15" s="17">
        <v>47.853333333333332</v>
      </c>
      <c r="E15" s="17">
        <v>10.962140910120317</v>
      </c>
    </row>
    <row r="16" spans="1:5" x14ac:dyDescent="0.2">
      <c r="B16" s="38">
        <v>2015</v>
      </c>
      <c r="C16" s="16" t="s">
        <v>40</v>
      </c>
      <c r="D16" s="17">
        <v>31.47</v>
      </c>
      <c r="E16" s="17">
        <v>12.993025051926917</v>
      </c>
    </row>
    <row r="18" spans="1:5" x14ac:dyDescent="0.2">
      <c r="A18" s="45" t="s">
        <v>41</v>
      </c>
      <c r="B18" s="37">
        <v>2002</v>
      </c>
      <c r="C18" s="38" t="s">
        <v>42</v>
      </c>
      <c r="D18" s="39">
        <v>21.4</v>
      </c>
      <c r="E18" s="39"/>
    </row>
    <row r="19" spans="1:5" x14ac:dyDescent="0.2">
      <c r="B19" s="37">
        <v>2002</v>
      </c>
      <c r="C19" s="38" t="s">
        <v>43</v>
      </c>
      <c r="D19" s="39">
        <v>10.4</v>
      </c>
      <c r="E19" s="39"/>
    </row>
    <row r="20" spans="1:5" x14ac:dyDescent="0.2">
      <c r="B20" s="37">
        <v>2002</v>
      </c>
      <c r="C20" s="38" t="s">
        <v>44</v>
      </c>
      <c r="D20" s="39">
        <v>9.9</v>
      </c>
      <c r="E20" s="39"/>
    </row>
    <row r="21" spans="1:5" x14ac:dyDescent="0.2">
      <c r="B21" s="37">
        <v>2002</v>
      </c>
      <c r="C21" s="38" t="s">
        <v>45</v>
      </c>
      <c r="D21" s="14">
        <v>7.8</v>
      </c>
      <c r="E21" s="14"/>
    </row>
    <row r="22" spans="1:5" x14ac:dyDescent="0.2">
      <c r="B22" s="37">
        <v>2002</v>
      </c>
      <c r="C22" s="38" t="s">
        <v>46</v>
      </c>
      <c r="D22" s="17">
        <v>5.2</v>
      </c>
    </row>
    <row r="23" spans="1:5" x14ac:dyDescent="0.2">
      <c r="B23" s="37">
        <v>2002</v>
      </c>
      <c r="C23" s="38" t="s">
        <v>47</v>
      </c>
      <c r="D23" s="17">
        <v>4</v>
      </c>
    </row>
    <row r="24" spans="1:5" x14ac:dyDescent="0.2">
      <c r="B24" s="37">
        <v>2005</v>
      </c>
      <c r="C24" s="38" t="s">
        <v>114</v>
      </c>
      <c r="D24" s="17">
        <v>27.15166666666666</v>
      </c>
      <c r="E24" s="17">
        <v>4.7342539650995565</v>
      </c>
    </row>
    <row r="25" spans="1:5" x14ac:dyDescent="0.15">
      <c r="B25" s="35">
        <v>2010</v>
      </c>
      <c r="C25" s="16" t="s">
        <v>48</v>
      </c>
      <c r="D25" s="17">
        <v>34.513333333333328</v>
      </c>
      <c r="E25" s="17">
        <v>4.8682766286781129</v>
      </c>
    </row>
    <row r="26" spans="1:5" x14ac:dyDescent="0.15">
      <c r="B26" s="35">
        <v>2010</v>
      </c>
      <c r="C26" s="16" t="s">
        <v>49</v>
      </c>
      <c r="D26" s="17">
        <v>23.885333333333335</v>
      </c>
      <c r="E26" s="17">
        <v>5.7823543071428354</v>
      </c>
    </row>
    <row r="27" spans="1:5" x14ac:dyDescent="0.15">
      <c r="B27" s="35">
        <v>2010</v>
      </c>
      <c r="C27" s="16" t="s">
        <v>50</v>
      </c>
      <c r="D27" s="17">
        <v>12.138666666666666</v>
      </c>
      <c r="E27" s="17">
        <v>2.8520009350162123</v>
      </c>
    </row>
    <row r="28" spans="1:5" x14ac:dyDescent="0.15">
      <c r="B28" s="35">
        <v>2010</v>
      </c>
      <c r="C28" s="16" t="s">
        <v>51</v>
      </c>
      <c r="D28" s="17">
        <v>7.4093333333333335</v>
      </c>
      <c r="E28" s="17">
        <v>4.2116055529136771</v>
      </c>
    </row>
    <row r="29" spans="1:5" x14ac:dyDescent="0.15">
      <c r="B29" s="35">
        <v>2010</v>
      </c>
      <c r="C29" s="16" t="s">
        <v>52</v>
      </c>
      <c r="D29" s="14">
        <v>5.0599999999999996</v>
      </c>
      <c r="E29" s="14">
        <v>0.96889215086096858</v>
      </c>
    </row>
    <row r="30" spans="1:5" x14ac:dyDescent="0.2">
      <c r="B30" s="37">
        <v>2015</v>
      </c>
      <c r="C30" s="38" t="s">
        <v>48</v>
      </c>
      <c r="D30" s="17">
        <v>39.5</v>
      </c>
    </row>
    <row r="31" spans="1:5" x14ac:dyDescent="0.2">
      <c r="B31" s="37">
        <v>2015</v>
      </c>
      <c r="C31" s="38" t="s">
        <v>49</v>
      </c>
      <c r="D31" s="39">
        <v>34.799999999999997</v>
      </c>
      <c r="E31" s="39"/>
    </row>
    <row r="32" spans="1:5" x14ac:dyDescent="0.2">
      <c r="B32" s="37">
        <v>2015</v>
      </c>
      <c r="C32" s="38" t="s">
        <v>53</v>
      </c>
      <c r="D32" s="39">
        <v>30.8</v>
      </c>
      <c r="E32" s="39"/>
    </row>
    <row r="33" spans="1:5" x14ac:dyDescent="0.2">
      <c r="B33" s="37">
        <v>2015</v>
      </c>
      <c r="C33" s="38" t="s">
        <v>54</v>
      </c>
      <c r="D33" s="39">
        <v>31.6</v>
      </c>
      <c r="E33" s="39"/>
    </row>
    <row r="35" spans="1:5" x14ac:dyDescent="0.15">
      <c r="A35" s="45" t="s">
        <v>12</v>
      </c>
      <c r="B35" s="16">
        <v>2002</v>
      </c>
      <c r="C35" s="16" t="s">
        <v>55</v>
      </c>
      <c r="D35" s="17">
        <v>17.717500000000001</v>
      </c>
      <c r="E35" s="17">
        <v>2.6090531488134476</v>
      </c>
    </row>
    <row r="36" spans="1:5" x14ac:dyDescent="0.15">
      <c r="B36" s="16">
        <v>2002</v>
      </c>
      <c r="C36" s="16" t="s">
        <v>56</v>
      </c>
      <c r="D36" s="17">
        <v>8.9599999999999991</v>
      </c>
      <c r="E36" s="17">
        <v>1.3534400614729882</v>
      </c>
    </row>
    <row r="37" spans="1:5" x14ac:dyDescent="0.15">
      <c r="B37" s="16">
        <v>2002</v>
      </c>
      <c r="C37" s="16" t="s">
        <v>57</v>
      </c>
      <c r="D37" s="17">
        <v>6.9850000000000003</v>
      </c>
      <c r="E37" s="17">
        <v>0.73903089696349267</v>
      </c>
    </row>
    <row r="38" spans="1:5" x14ac:dyDescent="0.15">
      <c r="B38" s="16">
        <v>2002</v>
      </c>
      <c r="C38" s="16" t="s">
        <v>58</v>
      </c>
      <c r="D38" s="17">
        <v>6.75</v>
      </c>
      <c r="E38" s="17">
        <v>0.63113654095871441</v>
      </c>
    </row>
    <row r="39" spans="1:5" x14ac:dyDescent="0.15">
      <c r="B39" s="16">
        <v>2002</v>
      </c>
      <c r="C39" s="16" t="s">
        <v>59</v>
      </c>
      <c r="D39" s="17">
        <v>6.3775000000000004</v>
      </c>
      <c r="E39" s="17">
        <v>0.49935792106796895</v>
      </c>
    </row>
    <row r="40" spans="1:5" x14ac:dyDescent="0.15">
      <c r="B40" s="16">
        <v>2003</v>
      </c>
      <c r="C40" s="16" t="s">
        <v>55</v>
      </c>
      <c r="D40" s="17">
        <v>15.023333333333333</v>
      </c>
      <c r="E40" s="17">
        <v>1.3302756606558612</v>
      </c>
    </row>
    <row r="41" spans="1:5" x14ac:dyDescent="0.15">
      <c r="B41" s="16">
        <v>2003</v>
      </c>
      <c r="C41" s="16" t="s">
        <v>56</v>
      </c>
      <c r="D41" s="17">
        <v>8.6233333333333331</v>
      </c>
      <c r="E41" s="17">
        <v>1.6429343667150282</v>
      </c>
    </row>
    <row r="42" spans="1:5" x14ac:dyDescent="0.15">
      <c r="B42" s="16">
        <v>2003</v>
      </c>
      <c r="C42" s="16" t="s">
        <v>57</v>
      </c>
      <c r="D42" s="17">
        <v>6.8833333333333329</v>
      </c>
      <c r="E42" s="17">
        <v>0.81156227939286418</v>
      </c>
    </row>
    <row r="43" spans="1:5" x14ac:dyDescent="0.15">
      <c r="B43" s="16">
        <v>2003</v>
      </c>
      <c r="C43" s="16" t="s">
        <v>58</v>
      </c>
      <c r="D43" s="17">
        <v>6.8033333333333337</v>
      </c>
      <c r="E43" s="17">
        <v>0.22300971578234352</v>
      </c>
    </row>
    <row r="44" spans="1:5" x14ac:dyDescent="0.15">
      <c r="B44" s="16">
        <v>2003</v>
      </c>
      <c r="C44" s="16" t="s">
        <v>59</v>
      </c>
      <c r="D44" s="17">
        <v>5.7600000000000007</v>
      </c>
      <c r="E44" s="17">
        <v>0.55434646206140603</v>
      </c>
    </row>
    <row r="45" spans="1:5" x14ac:dyDescent="0.15">
      <c r="B45" s="16">
        <v>2005</v>
      </c>
      <c r="C45" s="16" t="s">
        <v>60</v>
      </c>
      <c r="D45" s="17">
        <v>29.900000000000002</v>
      </c>
      <c r="E45" s="17">
        <v>4.014971979976961</v>
      </c>
    </row>
    <row r="46" spans="1:5" x14ac:dyDescent="0.15">
      <c r="B46" s="16">
        <v>2005</v>
      </c>
      <c r="C46" s="16" t="s">
        <v>49</v>
      </c>
      <c r="D46" s="17">
        <v>17.766666666666666</v>
      </c>
      <c r="E46" s="17">
        <v>5.7838856604650628</v>
      </c>
    </row>
    <row r="47" spans="1:5" x14ac:dyDescent="0.15">
      <c r="B47" s="16">
        <v>2005</v>
      </c>
      <c r="C47" s="16" t="s">
        <v>56</v>
      </c>
      <c r="D47" s="17">
        <v>12.366666666666665</v>
      </c>
      <c r="E47" s="17">
        <v>2.498666310921362</v>
      </c>
    </row>
    <row r="48" spans="1:5" x14ac:dyDescent="0.15">
      <c r="B48" s="16">
        <v>2005</v>
      </c>
      <c r="C48" s="16" t="s">
        <v>57</v>
      </c>
      <c r="D48" s="17">
        <v>8.2333333333333325</v>
      </c>
      <c r="E48" s="17">
        <v>0.50332229568472775</v>
      </c>
    </row>
    <row r="49" spans="1:5" x14ac:dyDescent="0.15">
      <c r="B49" s="16">
        <v>2005</v>
      </c>
      <c r="C49" s="16" t="s">
        <v>61</v>
      </c>
      <c r="D49" s="17">
        <v>7.6333333333333329</v>
      </c>
      <c r="E49" s="17">
        <v>0.75055534994652251</v>
      </c>
    </row>
    <row r="50" spans="1:5" x14ac:dyDescent="0.15">
      <c r="B50" s="16">
        <v>2010</v>
      </c>
      <c r="C50" s="16" t="s">
        <v>62</v>
      </c>
      <c r="D50" s="17">
        <v>31.414722222222224</v>
      </c>
      <c r="E50" s="17">
        <v>5.2995387864611549</v>
      </c>
    </row>
    <row r="51" spans="1:5" x14ac:dyDescent="0.15">
      <c r="B51" s="16">
        <v>2015</v>
      </c>
      <c r="C51" s="16" t="s">
        <v>63</v>
      </c>
      <c r="D51" s="17">
        <v>28.16</v>
      </c>
      <c r="E51" s="17">
        <v>8.4392475967943987</v>
      </c>
    </row>
    <row r="52" spans="1:5" x14ac:dyDescent="0.15">
      <c r="B52" s="16">
        <v>2015</v>
      </c>
      <c r="C52" s="16" t="s">
        <v>64</v>
      </c>
      <c r="D52" s="17">
        <v>15.520000000000001</v>
      </c>
      <c r="E52" s="17">
        <v>3.8031960243984169</v>
      </c>
    </row>
    <row r="53" spans="1:5" x14ac:dyDescent="0.15">
      <c r="B53" s="16">
        <v>2015</v>
      </c>
      <c r="C53" s="16" t="s">
        <v>65</v>
      </c>
      <c r="D53" s="17">
        <v>10.76</v>
      </c>
      <c r="E53" s="17">
        <v>2.4479174822693621</v>
      </c>
    </row>
    <row r="54" spans="1:5" x14ac:dyDescent="0.15">
      <c r="B54" s="16">
        <v>2015</v>
      </c>
      <c r="C54" s="16" t="s">
        <v>66</v>
      </c>
      <c r="D54" s="17">
        <v>8.7933333333333348</v>
      </c>
      <c r="E54" s="17">
        <v>0.77880249956796044</v>
      </c>
    </row>
    <row r="55" spans="1:5" x14ac:dyDescent="0.15">
      <c r="B55" s="16">
        <v>2015</v>
      </c>
      <c r="C55" s="16" t="s">
        <v>67</v>
      </c>
      <c r="D55" s="17">
        <v>8.8033333333333346</v>
      </c>
      <c r="E55" s="17">
        <v>1.1868585987106162</v>
      </c>
    </row>
    <row r="57" spans="1:5" x14ac:dyDescent="0.15">
      <c r="A57" s="45" t="s">
        <v>16</v>
      </c>
      <c r="B57" s="16">
        <v>2005</v>
      </c>
      <c r="C57" s="16" t="s">
        <v>48</v>
      </c>
      <c r="D57" s="17">
        <v>30.51</v>
      </c>
      <c r="E57" s="17">
        <v>18.054453744159641</v>
      </c>
    </row>
    <row r="58" spans="1:5" x14ac:dyDescent="0.15">
      <c r="B58" s="16">
        <v>2005</v>
      </c>
      <c r="C58" s="16" t="s">
        <v>68</v>
      </c>
      <c r="D58" s="17">
        <v>13.416666666666666</v>
      </c>
      <c r="E58" s="17">
        <v>4.4812890461508372</v>
      </c>
    </row>
    <row r="59" spans="1:5" x14ac:dyDescent="0.15">
      <c r="B59" s="16">
        <v>2005</v>
      </c>
      <c r="C59" s="16" t="s">
        <v>49</v>
      </c>
      <c r="D59" s="17">
        <v>8.5333333333333332</v>
      </c>
      <c r="E59" s="17">
        <v>2.7530044194176919</v>
      </c>
    </row>
    <row r="60" spans="1:5" x14ac:dyDescent="0.15">
      <c r="B60" s="16">
        <v>2005</v>
      </c>
      <c r="C60" s="16" t="s">
        <v>50</v>
      </c>
      <c r="D60" s="17">
        <v>6.68</v>
      </c>
      <c r="E60" s="17">
        <v>1.4148144754701939</v>
      </c>
    </row>
    <row r="61" spans="1:5" x14ac:dyDescent="0.15">
      <c r="B61" s="16">
        <v>2005</v>
      </c>
      <c r="C61" s="16" t="s">
        <v>51</v>
      </c>
      <c r="D61" s="17">
        <v>5.9200000000000008</v>
      </c>
      <c r="E61" s="17">
        <v>0.4371498598878783</v>
      </c>
    </row>
    <row r="62" spans="1:5" x14ac:dyDescent="0.15">
      <c r="B62" s="16">
        <v>2005</v>
      </c>
      <c r="C62" s="16" t="s">
        <v>69</v>
      </c>
      <c r="D62" s="17">
        <v>6.2133333333333338</v>
      </c>
      <c r="E62" s="17">
        <v>0.27428695436228245</v>
      </c>
    </row>
    <row r="63" spans="1:5" x14ac:dyDescent="0.15">
      <c r="B63" s="16">
        <v>2010</v>
      </c>
      <c r="C63" s="16" t="s">
        <v>48</v>
      </c>
      <c r="D63" s="17">
        <v>94.440000000000012</v>
      </c>
      <c r="E63" s="17">
        <v>4.0821072989322831</v>
      </c>
    </row>
    <row r="64" spans="1:5" x14ac:dyDescent="0.15">
      <c r="B64" s="16">
        <v>2010</v>
      </c>
      <c r="C64" s="16" t="s">
        <v>68</v>
      </c>
      <c r="D64" s="17">
        <v>9.3616666666666664</v>
      </c>
      <c r="E64" s="17">
        <v>1.8567435651340403</v>
      </c>
    </row>
    <row r="65" spans="1:5" x14ac:dyDescent="0.15">
      <c r="B65" s="16">
        <v>2010</v>
      </c>
      <c r="C65" s="16" t="s">
        <v>49</v>
      </c>
      <c r="D65" s="17">
        <v>4.0166666666666666</v>
      </c>
      <c r="E65" s="17">
        <v>0.57735026918962473</v>
      </c>
    </row>
    <row r="66" spans="1:5" x14ac:dyDescent="0.15">
      <c r="B66" s="16">
        <v>2010</v>
      </c>
      <c r="C66" s="16" t="s">
        <v>50</v>
      </c>
      <c r="D66" s="17">
        <v>2.5666666666666664</v>
      </c>
      <c r="E66" s="17">
        <v>0.19629909152447778</v>
      </c>
    </row>
    <row r="67" spans="1:5" x14ac:dyDescent="0.15">
      <c r="B67" s="16">
        <v>2010</v>
      </c>
      <c r="C67" s="16" t="s">
        <v>51</v>
      </c>
      <c r="D67" s="17">
        <v>2.9599999999999995</v>
      </c>
      <c r="E67" s="17">
        <v>0.82710337927009014</v>
      </c>
    </row>
    <row r="68" spans="1:5" x14ac:dyDescent="0.15">
      <c r="B68" s="16">
        <v>2010</v>
      </c>
      <c r="C68" s="16" t="s">
        <v>69</v>
      </c>
      <c r="D68" s="17">
        <v>3.3466666666666662</v>
      </c>
      <c r="E68" s="17">
        <v>0.33501243758006866</v>
      </c>
    </row>
    <row r="70" spans="1:5" x14ac:dyDescent="0.15">
      <c r="A70" s="45" t="s">
        <v>5</v>
      </c>
      <c r="B70" s="16">
        <v>2005</v>
      </c>
      <c r="C70" s="13" t="s">
        <v>36</v>
      </c>
      <c r="D70" s="14">
        <v>54.14</v>
      </c>
      <c r="E70" s="17">
        <v>6.1577184868264272</v>
      </c>
    </row>
    <row r="71" spans="1:5" x14ac:dyDescent="0.15">
      <c r="B71" s="16">
        <v>2005</v>
      </c>
      <c r="C71" s="15" t="s">
        <v>37</v>
      </c>
      <c r="D71" s="14">
        <v>20.49</v>
      </c>
      <c r="E71" s="17">
        <v>6.9845284919567705</v>
      </c>
    </row>
    <row r="72" spans="1:5" x14ac:dyDescent="0.15">
      <c r="B72" s="16">
        <v>2005</v>
      </c>
      <c r="C72" s="13" t="s">
        <v>38</v>
      </c>
      <c r="D72" s="14">
        <v>17.600000000000001</v>
      </c>
      <c r="E72" s="17">
        <v>6.8350305135949192</v>
      </c>
    </row>
    <row r="73" spans="1:5" x14ac:dyDescent="0.15">
      <c r="B73" s="16">
        <v>2005</v>
      </c>
      <c r="C73" s="13" t="s">
        <v>39</v>
      </c>
      <c r="D73" s="14">
        <v>8.94</v>
      </c>
      <c r="E73" s="17">
        <v>0.6939092485214764</v>
      </c>
    </row>
    <row r="74" spans="1:5" x14ac:dyDescent="0.15">
      <c r="B74" s="16">
        <v>2005</v>
      </c>
      <c r="C74" s="13" t="s">
        <v>70</v>
      </c>
      <c r="D74" s="14">
        <v>8.8800000000000008</v>
      </c>
      <c r="E74" s="17">
        <v>0.53173801683083755</v>
      </c>
    </row>
    <row r="75" spans="1:5" x14ac:dyDescent="0.2">
      <c r="B75" s="37">
        <v>2010</v>
      </c>
      <c r="C75" s="38" t="s">
        <v>48</v>
      </c>
      <c r="D75" s="17">
        <v>49.4746666666667</v>
      </c>
      <c r="E75" s="17">
        <v>3.478962183212627</v>
      </c>
    </row>
    <row r="76" spans="1:5" x14ac:dyDescent="0.2">
      <c r="B76" s="37">
        <v>2010</v>
      </c>
      <c r="C76" s="38" t="s">
        <v>49</v>
      </c>
      <c r="D76" s="17">
        <v>25.037666666666667</v>
      </c>
      <c r="E76" s="17">
        <v>0.94627177461314893</v>
      </c>
    </row>
    <row r="77" spans="1:5" x14ac:dyDescent="0.2">
      <c r="B77" s="37">
        <v>2010</v>
      </c>
      <c r="C77" s="38" t="s">
        <v>50</v>
      </c>
      <c r="D77" s="17">
        <v>13.336666666666666</v>
      </c>
      <c r="E77" s="17">
        <v>3.4281506176208825</v>
      </c>
    </row>
    <row r="78" spans="1:5" x14ac:dyDescent="0.2">
      <c r="B78" s="37">
        <v>2010</v>
      </c>
      <c r="C78" s="38" t="s">
        <v>51</v>
      </c>
      <c r="D78" s="17">
        <v>8.9556666666666676</v>
      </c>
      <c r="E78" s="17">
        <v>0.59929241794500032</v>
      </c>
    </row>
    <row r="79" spans="1:5" x14ac:dyDescent="0.2">
      <c r="B79" s="37">
        <v>2010</v>
      </c>
      <c r="C79" s="38" t="s">
        <v>52</v>
      </c>
      <c r="D79" s="17">
        <v>7.7913333333333341</v>
      </c>
      <c r="E79" s="17">
        <v>0.72404495297385907</v>
      </c>
    </row>
    <row r="80" spans="1:5" x14ac:dyDescent="0.2">
      <c r="B80" s="40">
        <v>2015</v>
      </c>
      <c r="C80" s="13" t="s">
        <v>36</v>
      </c>
      <c r="D80" s="14">
        <v>38.440941218395089</v>
      </c>
      <c r="E80" s="17">
        <v>2.57482765898789</v>
      </c>
    </row>
    <row r="81" spans="1:5" x14ac:dyDescent="0.2">
      <c r="B81" s="40">
        <v>2015</v>
      </c>
      <c r="C81" s="38" t="s">
        <v>72</v>
      </c>
      <c r="D81" s="17">
        <v>36.144628226267699</v>
      </c>
      <c r="E81" s="17">
        <v>5.4956858266844906</v>
      </c>
    </row>
    <row r="82" spans="1:5" x14ac:dyDescent="0.2">
      <c r="B82" s="40">
        <v>2015</v>
      </c>
      <c r="C82" s="38" t="s">
        <v>91</v>
      </c>
      <c r="D82" s="17">
        <v>18.765517702209721</v>
      </c>
      <c r="E82" s="17">
        <v>2.3742914376053434</v>
      </c>
    </row>
    <row r="83" spans="1:5" x14ac:dyDescent="0.2">
      <c r="B83" s="40">
        <v>2015</v>
      </c>
      <c r="C83" s="38" t="s">
        <v>38</v>
      </c>
      <c r="D83" s="17">
        <v>12.554149712855136</v>
      </c>
      <c r="E83" s="17">
        <v>2.2541923031763429</v>
      </c>
    </row>
    <row r="84" spans="1:5" x14ac:dyDescent="0.2">
      <c r="B84" s="40">
        <v>2015</v>
      </c>
      <c r="C84" s="13" t="s">
        <v>39</v>
      </c>
      <c r="D84" s="14">
        <v>11.882862127343094</v>
      </c>
      <c r="E84" s="17">
        <v>2.2251179008523101</v>
      </c>
    </row>
    <row r="85" spans="1:5" x14ac:dyDescent="0.2">
      <c r="B85" s="40">
        <v>2015</v>
      </c>
      <c r="C85" s="38" t="s">
        <v>40</v>
      </c>
      <c r="D85" s="17">
        <v>9.499148267649753</v>
      </c>
      <c r="E85" s="17">
        <v>1.0899851576032809</v>
      </c>
    </row>
    <row r="86" spans="1:5" x14ac:dyDescent="0.2">
      <c r="B86" s="40"/>
    </row>
    <row r="87" spans="1:5" x14ac:dyDescent="0.2">
      <c r="B87" s="40"/>
    </row>
    <row r="89" spans="1:5" x14ac:dyDescent="0.15">
      <c r="A89" s="46" t="s">
        <v>17</v>
      </c>
      <c r="B89" s="16">
        <v>2005</v>
      </c>
      <c r="C89" s="16" t="s">
        <v>36</v>
      </c>
      <c r="D89" s="17">
        <v>33.034999999999997</v>
      </c>
      <c r="E89" s="17">
        <v>9.3656427613556392</v>
      </c>
    </row>
    <row r="90" spans="1:5" x14ac:dyDescent="0.15">
      <c r="B90" s="16">
        <v>2005</v>
      </c>
      <c r="C90" s="18" t="s">
        <v>37</v>
      </c>
      <c r="D90" s="17">
        <v>17.422000000000001</v>
      </c>
      <c r="E90" s="17">
        <v>1.59870708177994</v>
      </c>
    </row>
    <row r="91" spans="1:5" x14ac:dyDescent="0.15">
      <c r="B91" s="16">
        <v>2005</v>
      </c>
      <c r="C91" s="16" t="s">
        <v>38</v>
      </c>
      <c r="D91" s="17">
        <v>14.209</v>
      </c>
      <c r="E91" s="17">
        <v>4.6207204344488702</v>
      </c>
    </row>
    <row r="92" spans="1:5" x14ac:dyDescent="0.15">
      <c r="B92" s="16">
        <v>2005</v>
      </c>
      <c r="C92" s="16" t="s">
        <v>39</v>
      </c>
      <c r="D92" s="17">
        <v>7.86</v>
      </c>
      <c r="E92" s="17">
        <v>0.97175459865132596</v>
      </c>
    </row>
    <row r="93" spans="1:5" x14ac:dyDescent="0.15">
      <c r="B93" s="16">
        <v>2005</v>
      </c>
      <c r="C93" s="16" t="s">
        <v>70</v>
      </c>
      <c r="D93" s="17">
        <v>5.9219999999999997</v>
      </c>
      <c r="E93" s="17">
        <v>1.54331493869528</v>
      </c>
    </row>
    <row r="94" spans="1:5" x14ac:dyDescent="0.2">
      <c r="B94" s="16">
        <v>2010</v>
      </c>
      <c r="C94" s="38" t="s">
        <v>48</v>
      </c>
      <c r="D94" s="17">
        <v>20.155999999999999</v>
      </c>
    </row>
    <row r="95" spans="1:5" x14ac:dyDescent="0.2">
      <c r="B95" s="16">
        <v>2010</v>
      </c>
      <c r="C95" s="38" t="s">
        <v>49</v>
      </c>
      <c r="D95" s="17">
        <v>14.241</v>
      </c>
    </row>
    <row r="96" spans="1:5" x14ac:dyDescent="0.2">
      <c r="B96" s="16">
        <v>2010</v>
      </c>
      <c r="C96" s="38" t="s">
        <v>50</v>
      </c>
      <c r="D96" s="17">
        <v>16.972999999999999</v>
      </c>
    </row>
    <row r="97" spans="1:5" x14ac:dyDescent="0.2">
      <c r="B97" s="16">
        <v>2010</v>
      </c>
      <c r="C97" s="38" t="s">
        <v>51</v>
      </c>
      <c r="D97" s="17">
        <v>14.19</v>
      </c>
    </row>
    <row r="98" spans="1:5" x14ac:dyDescent="0.2">
      <c r="B98" s="16">
        <v>2010</v>
      </c>
      <c r="C98" s="38" t="s">
        <v>52</v>
      </c>
      <c r="D98" s="17">
        <v>5.9610000000000003</v>
      </c>
    </row>
    <row r="99" spans="1:5" x14ac:dyDescent="0.2">
      <c r="B99" s="40">
        <v>2015</v>
      </c>
      <c r="C99" s="16" t="s">
        <v>36</v>
      </c>
      <c r="D99" s="17">
        <v>59.198832731458715</v>
      </c>
      <c r="E99" s="17">
        <v>17.176573520758414</v>
      </c>
    </row>
    <row r="100" spans="1:5" x14ac:dyDescent="0.2">
      <c r="B100" s="40">
        <v>2015</v>
      </c>
      <c r="C100" s="18" t="s">
        <v>37</v>
      </c>
      <c r="D100" s="17">
        <v>19.052233263225919</v>
      </c>
      <c r="E100" s="17">
        <v>4.7587226850375686</v>
      </c>
    </row>
    <row r="101" spans="1:5" x14ac:dyDescent="0.2">
      <c r="B101" s="40">
        <v>2015</v>
      </c>
      <c r="C101" s="16" t="s">
        <v>38</v>
      </c>
      <c r="D101" s="17">
        <v>12.373099665854484</v>
      </c>
      <c r="E101" s="17">
        <v>1.3861808259660098</v>
      </c>
    </row>
    <row r="102" spans="1:5" x14ac:dyDescent="0.2">
      <c r="B102" s="40">
        <v>2015</v>
      </c>
      <c r="C102" s="16" t="s">
        <v>39</v>
      </c>
      <c r="D102" s="17">
        <v>8.8859685545638456</v>
      </c>
      <c r="E102" s="17">
        <v>3.3664253818751559</v>
      </c>
    </row>
    <row r="103" spans="1:5" x14ac:dyDescent="0.2">
      <c r="B103" s="40">
        <v>2015</v>
      </c>
      <c r="C103" s="16" t="s">
        <v>70</v>
      </c>
      <c r="D103" s="17">
        <v>6.2181297045108295</v>
      </c>
      <c r="E103" s="17">
        <v>3.8810676959071935</v>
      </c>
    </row>
    <row r="104" spans="1:5" x14ac:dyDescent="0.15">
      <c r="E104" s="14"/>
    </row>
    <row r="105" spans="1:5" x14ac:dyDescent="0.15">
      <c r="A105" s="45" t="s">
        <v>7</v>
      </c>
      <c r="B105" s="13">
        <v>2005</v>
      </c>
      <c r="C105" s="13" t="s">
        <v>36</v>
      </c>
      <c r="D105" s="14">
        <v>25.51</v>
      </c>
      <c r="E105" s="17">
        <v>3.2876070831735804</v>
      </c>
    </row>
    <row r="106" spans="1:5" x14ac:dyDescent="0.15">
      <c r="B106" s="13">
        <v>2005</v>
      </c>
      <c r="C106" s="15" t="s">
        <v>37</v>
      </c>
      <c r="D106" s="14">
        <v>14.13</v>
      </c>
      <c r="E106" s="17">
        <v>1.9476851217107558</v>
      </c>
    </row>
    <row r="107" spans="1:5" x14ac:dyDescent="0.15">
      <c r="B107" s="13">
        <v>2005</v>
      </c>
      <c r="C107" s="13" t="s">
        <v>38</v>
      </c>
      <c r="D107" s="14">
        <v>10.19</v>
      </c>
      <c r="E107" s="17">
        <v>0.59596756063841405</v>
      </c>
    </row>
    <row r="108" spans="1:5" x14ac:dyDescent="0.15">
      <c r="B108" s="13">
        <v>2005</v>
      </c>
      <c r="C108" s="13" t="s">
        <v>39</v>
      </c>
      <c r="D108" s="14">
        <v>7.43</v>
      </c>
      <c r="E108" s="17">
        <v>1.1241513836371571</v>
      </c>
    </row>
    <row r="109" spans="1:5" x14ac:dyDescent="0.15">
      <c r="B109" s="13">
        <v>2005</v>
      </c>
      <c r="C109" s="13" t="s">
        <v>70</v>
      </c>
      <c r="D109" s="14">
        <v>6.27</v>
      </c>
      <c r="E109" s="17">
        <v>0.50722217354264776</v>
      </c>
    </row>
    <row r="110" spans="1:5" x14ac:dyDescent="0.15">
      <c r="B110" s="13">
        <v>2005</v>
      </c>
      <c r="C110" s="13" t="s">
        <v>71</v>
      </c>
      <c r="D110" s="14">
        <v>5.34</v>
      </c>
      <c r="E110" s="17">
        <v>0.85316352477118529</v>
      </c>
    </row>
    <row r="111" spans="1:5" x14ac:dyDescent="0.15">
      <c r="B111" s="13">
        <v>2008</v>
      </c>
      <c r="C111" s="13" t="s">
        <v>72</v>
      </c>
      <c r="D111" s="14">
        <v>33.86</v>
      </c>
      <c r="E111" s="17">
        <v>6.2520989560355487</v>
      </c>
    </row>
    <row r="112" spans="1:5" x14ac:dyDescent="0.15">
      <c r="B112" s="13">
        <v>2008</v>
      </c>
      <c r="C112" s="13" t="s">
        <v>36</v>
      </c>
      <c r="D112" s="14">
        <v>35.549999999999997</v>
      </c>
    </row>
    <row r="113" spans="1:5" x14ac:dyDescent="0.2">
      <c r="B113" s="13">
        <v>2008</v>
      </c>
      <c r="C113" s="13" t="s">
        <v>73</v>
      </c>
      <c r="D113" s="14">
        <v>6.64</v>
      </c>
      <c r="E113" s="39"/>
    </row>
    <row r="114" spans="1:5" x14ac:dyDescent="0.2">
      <c r="B114" s="13">
        <v>2008</v>
      </c>
      <c r="C114" s="13" t="s">
        <v>74</v>
      </c>
      <c r="D114" s="14">
        <v>14.29</v>
      </c>
      <c r="E114" s="39"/>
    </row>
    <row r="115" spans="1:5" x14ac:dyDescent="0.2">
      <c r="B115" s="13">
        <v>2008</v>
      </c>
      <c r="C115" s="13" t="s">
        <v>75</v>
      </c>
      <c r="D115" s="14">
        <v>6.12</v>
      </c>
      <c r="E115" s="39"/>
    </row>
    <row r="116" spans="1:5" x14ac:dyDescent="0.15">
      <c r="B116" s="16">
        <v>2010</v>
      </c>
      <c r="C116" s="16" t="s">
        <v>60</v>
      </c>
      <c r="D116" s="17">
        <v>54.076666666666675</v>
      </c>
      <c r="E116" s="14">
        <v>5.4400950665713079</v>
      </c>
    </row>
    <row r="117" spans="1:5" x14ac:dyDescent="0.15">
      <c r="B117" s="16">
        <v>2010</v>
      </c>
      <c r="C117" s="41" t="s">
        <v>76</v>
      </c>
      <c r="D117" s="17">
        <v>24.744333333333334</v>
      </c>
      <c r="E117" s="17">
        <v>5.4493177860474624</v>
      </c>
    </row>
    <row r="118" spans="1:5" x14ac:dyDescent="0.15">
      <c r="B118" s="16">
        <v>2010</v>
      </c>
      <c r="C118" s="16" t="s">
        <v>56</v>
      </c>
      <c r="D118" s="17">
        <v>17.215666666666667</v>
      </c>
      <c r="E118" s="17">
        <v>4.9669113474405187</v>
      </c>
    </row>
    <row r="119" spans="1:5" x14ac:dyDescent="0.15">
      <c r="B119" s="16">
        <v>2010</v>
      </c>
      <c r="C119" s="16" t="s">
        <v>57</v>
      </c>
      <c r="D119" s="17">
        <v>11.110666666666667</v>
      </c>
      <c r="E119" s="17">
        <v>2.7601243329483034</v>
      </c>
    </row>
    <row r="120" spans="1:5" x14ac:dyDescent="0.15">
      <c r="B120" s="16">
        <v>2010</v>
      </c>
      <c r="C120" s="16" t="s">
        <v>61</v>
      </c>
      <c r="D120" s="17">
        <v>7.3873333333333333</v>
      </c>
      <c r="E120" s="17">
        <v>0.83271623818281082</v>
      </c>
    </row>
    <row r="123" spans="1:5" x14ac:dyDescent="0.2">
      <c r="A123" s="45" t="s">
        <v>9</v>
      </c>
      <c r="B123" s="37">
        <v>2005</v>
      </c>
      <c r="C123" s="38" t="s">
        <v>48</v>
      </c>
      <c r="D123" s="39">
        <v>77.902000000000001</v>
      </c>
      <c r="E123" s="17">
        <v>3.8839146489074876</v>
      </c>
    </row>
    <row r="124" spans="1:5" x14ac:dyDescent="0.2">
      <c r="B124" s="37">
        <v>2005</v>
      </c>
      <c r="C124" s="38" t="s">
        <v>49</v>
      </c>
      <c r="D124" s="39">
        <v>31.330666666666662</v>
      </c>
      <c r="E124" s="17">
        <v>14.45754198794987</v>
      </c>
    </row>
    <row r="125" spans="1:5" x14ac:dyDescent="0.2">
      <c r="B125" s="37">
        <v>2005</v>
      </c>
      <c r="C125" s="38" t="s">
        <v>50</v>
      </c>
      <c r="D125" s="39">
        <v>9.1773333333333333</v>
      </c>
      <c r="E125" s="17">
        <v>3.086508437269103</v>
      </c>
    </row>
    <row r="126" spans="1:5" x14ac:dyDescent="0.2">
      <c r="B126" s="37">
        <v>2005</v>
      </c>
      <c r="C126" s="38" t="s">
        <v>51</v>
      </c>
      <c r="D126" s="39">
        <v>6.5616666666666665</v>
      </c>
      <c r="E126" s="17">
        <v>1.0641223300604747</v>
      </c>
    </row>
    <row r="127" spans="1:5" x14ac:dyDescent="0.2">
      <c r="B127" s="37">
        <v>2005</v>
      </c>
      <c r="C127" s="38" t="s">
        <v>69</v>
      </c>
      <c r="D127" s="39">
        <v>5.817333333333333</v>
      </c>
      <c r="E127" s="17">
        <v>0.33544050639918715</v>
      </c>
    </row>
    <row r="128" spans="1:5" x14ac:dyDescent="0.2">
      <c r="B128" s="37">
        <v>2010</v>
      </c>
      <c r="C128" s="38" t="s">
        <v>48</v>
      </c>
      <c r="D128" s="39">
        <v>67.654333333333341</v>
      </c>
      <c r="E128" s="17">
        <v>14.42995205582235</v>
      </c>
    </row>
    <row r="129" spans="1:6" x14ac:dyDescent="0.2">
      <c r="B129" s="37">
        <v>2010</v>
      </c>
      <c r="C129" s="38" t="s">
        <v>49</v>
      </c>
      <c r="D129" s="39">
        <v>28.664333333333332</v>
      </c>
      <c r="E129" s="17">
        <v>6.4484435589786795</v>
      </c>
    </row>
    <row r="130" spans="1:6" x14ac:dyDescent="0.2">
      <c r="B130" s="37">
        <v>2010</v>
      </c>
      <c r="C130" s="38" t="s">
        <v>50</v>
      </c>
      <c r="D130" s="39">
        <v>14.293333333333331</v>
      </c>
      <c r="E130" s="39">
        <v>2.2262345638618881</v>
      </c>
    </row>
    <row r="131" spans="1:6" x14ac:dyDescent="0.2">
      <c r="B131" s="37">
        <v>2010</v>
      </c>
      <c r="C131" s="38" t="s">
        <v>51</v>
      </c>
      <c r="D131" s="39">
        <v>11.038000000000002</v>
      </c>
      <c r="E131" s="39">
        <v>2.8057079320556451</v>
      </c>
    </row>
    <row r="132" spans="1:6" x14ac:dyDescent="0.2">
      <c r="B132" s="37">
        <v>2010</v>
      </c>
      <c r="C132" s="38" t="s">
        <v>69</v>
      </c>
      <c r="D132" s="39">
        <v>9.9760000000000009</v>
      </c>
      <c r="E132" s="39">
        <v>2.4219465312016992</v>
      </c>
    </row>
    <row r="133" spans="1:6" x14ac:dyDescent="0.2">
      <c r="B133" s="42">
        <v>2015</v>
      </c>
      <c r="C133" s="38" t="s">
        <v>48</v>
      </c>
      <c r="D133" s="17">
        <v>47.785066666666665</v>
      </c>
      <c r="E133" s="14">
        <v>21.982370183116505</v>
      </c>
      <c r="F133" s="43"/>
    </row>
    <row r="134" spans="1:6" x14ac:dyDescent="0.2">
      <c r="B134" s="42">
        <v>2015</v>
      </c>
      <c r="C134" s="38" t="s">
        <v>49</v>
      </c>
      <c r="D134" s="17">
        <v>14.424133333333332</v>
      </c>
      <c r="E134" s="17">
        <v>0.64248572222947964</v>
      </c>
      <c r="F134" s="43"/>
    </row>
    <row r="135" spans="1:6" x14ac:dyDescent="0.2">
      <c r="B135" s="42">
        <v>2015</v>
      </c>
      <c r="C135" s="38" t="s">
        <v>50</v>
      </c>
      <c r="D135" s="17">
        <v>8.6199999999999992</v>
      </c>
      <c r="E135" s="17">
        <v>2.4863881595599677</v>
      </c>
      <c r="F135" s="43"/>
    </row>
    <row r="136" spans="1:6" x14ac:dyDescent="0.2">
      <c r="B136" s="42">
        <v>2015</v>
      </c>
      <c r="C136" s="38" t="s">
        <v>51</v>
      </c>
      <c r="D136" s="17">
        <v>10.344000000000001</v>
      </c>
      <c r="E136" s="17">
        <v>4.5318579148071274</v>
      </c>
      <c r="F136" s="43"/>
    </row>
    <row r="137" spans="1:6" x14ac:dyDescent="0.2">
      <c r="B137" s="42">
        <v>2015</v>
      </c>
      <c r="C137" s="38" t="s">
        <v>69</v>
      </c>
      <c r="D137" s="17">
        <v>20.859066666666667</v>
      </c>
      <c r="E137" s="17">
        <v>4.7575869233607673</v>
      </c>
      <c r="F137" s="43"/>
    </row>
    <row r="139" spans="1:6" x14ac:dyDescent="0.2">
      <c r="A139" s="45" t="s">
        <v>10</v>
      </c>
      <c r="B139" s="37">
        <v>2010</v>
      </c>
      <c r="C139" s="38" t="s">
        <v>48</v>
      </c>
      <c r="D139" s="39">
        <v>50.364666666666665</v>
      </c>
      <c r="E139" s="17">
        <v>15.691427862477456</v>
      </c>
    </row>
    <row r="140" spans="1:6" x14ac:dyDescent="0.2">
      <c r="B140" s="37">
        <v>2010</v>
      </c>
      <c r="C140" s="38" t="s">
        <v>49</v>
      </c>
      <c r="D140" s="39">
        <v>31.524666666666665</v>
      </c>
      <c r="E140" s="17">
        <v>8.2370382251955956</v>
      </c>
    </row>
    <row r="141" spans="1:6" x14ac:dyDescent="0.2">
      <c r="B141" s="37">
        <v>2010</v>
      </c>
      <c r="C141" s="38" t="s">
        <v>50</v>
      </c>
      <c r="D141" s="39">
        <v>21.317000000000004</v>
      </c>
      <c r="E141" s="17">
        <v>5.0152231349495571</v>
      </c>
    </row>
    <row r="142" spans="1:6" x14ac:dyDescent="0.2">
      <c r="B142" s="37">
        <v>2010</v>
      </c>
      <c r="C142" s="38" t="s">
        <v>51</v>
      </c>
      <c r="D142" s="39">
        <v>19.148333333333337</v>
      </c>
      <c r="E142" s="17">
        <v>3.7609506794603611</v>
      </c>
    </row>
    <row r="143" spans="1:6" x14ac:dyDescent="0.2">
      <c r="B143" s="37">
        <v>2010</v>
      </c>
      <c r="C143" s="38" t="s">
        <v>69</v>
      </c>
      <c r="D143" s="39">
        <v>14.795000000000002</v>
      </c>
      <c r="E143" s="17">
        <v>1.9328731903567757</v>
      </c>
    </row>
    <row r="144" spans="1:6" x14ac:dyDescent="0.2">
      <c r="B144" s="44">
        <v>2015</v>
      </c>
      <c r="C144" s="38" t="s">
        <v>48</v>
      </c>
      <c r="D144" s="17">
        <v>53.266495074909351</v>
      </c>
      <c r="E144" s="39">
        <v>13.93143275528311</v>
      </c>
    </row>
    <row r="145" spans="2:5" x14ac:dyDescent="0.2">
      <c r="B145" s="44">
        <v>2015</v>
      </c>
      <c r="C145" s="38" t="s">
        <v>49</v>
      </c>
      <c r="D145" s="17">
        <v>33.248952886059406</v>
      </c>
      <c r="E145" s="39">
        <v>9.8754421422899981</v>
      </c>
    </row>
    <row r="146" spans="2:5" x14ac:dyDescent="0.2">
      <c r="B146" s="44">
        <v>2015</v>
      </c>
      <c r="C146" s="38" t="s">
        <v>50</v>
      </c>
      <c r="D146" s="17">
        <v>23.986506192811802</v>
      </c>
      <c r="E146" s="17">
        <v>7.1332796349985861</v>
      </c>
    </row>
    <row r="147" spans="2:5" x14ac:dyDescent="0.2">
      <c r="B147" s="44">
        <v>2015</v>
      </c>
      <c r="C147" s="38" t="s">
        <v>51</v>
      </c>
      <c r="D147" s="17">
        <v>18.314381370875235</v>
      </c>
      <c r="E147" s="17">
        <v>11.26337038792836</v>
      </c>
    </row>
    <row r="148" spans="2:5" x14ac:dyDescent="0.2">
      <c r="B148" s="44">
        <v>2015</v>
      </c>
      <c r="C148" s="38" t="s">
        <v>69</v>
      </c>
      <c r="D148" s="17">
        <v>15.513001976962778</v>
      </c>
      <c r="E148" s="17">
        <v>7.7017666267013682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6D13-514C-480D-ADEF-B85CC0CEBB13}">
  <dimension ref="A1:F142"/>
  <sheetViews>
    <sheetView topLeftCell="A142" zoomScaleNormal="100" zoomScaleSheetLayoutView="100" workbookViewId="0">
      <selection activeCell="H17" sqref="H17"/>
    </sheetView>
  </sheetViews>
  <sheetFormatPr defaultRowHeight="13.5" x14ac:dyDescent="0.15"/>
  <cols>
    <col min="2" max="2" width="9.5" style="24" bestFit="1" customWidth="1"/>
    <col min="3" max="3" width="16.5" style="24" customWidth="1"/>
    <col min="4" max="4" width="16.5" style="25" customWidth="1"/>
  </cols>
  <sheetData>
    <row r="1" spans="1:5" x14ac:dyDescent="0.15">
      <c r="A1" s="26" t="s">
        <v>18</v>
      </c>
      <c r="B1" s="26" t="s">
        <v>0</v>
      </c>
      <c r="C1" s="26" t="s">
        <v>110</v>
      </c>
      <c r="D1" s="27" t="s">
        <v>77</v>
      </c>
      <c r="E1" s="27" t="s">
        <v>113</v>
      </c>
    </row>
    <row r="2" spans="1:5" x14ac:dyDescent="0.15">
      <c r="A2" s="19" t="s">
        <v>11</v>
      </c>
      <c r="B2" s="20">
        <v>2005</v>
      </c>
      <c r="C2" s="20" t="s">
        <v>36</v>
      </c>
      <c r="D2" s="21">
        <v>0.42</v>
      </c>
      <c r="E2" s="21"/>
    </row>
    <row r="3" spans="1:5" x14ac:dyDescent="0.15">
      <c r="A3" s="19"/>
      <c r="B3" s="22">
        <v>2005</v>
      </c>
      <c r="C3" s="20" t="s">
        <v>37</v>
      </c>
      <c r="D3" s="21">
        <v>0.5</v>
      </c>
      <c r="E3" s="21"/>
    </row>
    <row r="4" spans="1:5" x14ac:dyDescent="0.15">
      <c r="A4" s="19"/>
      <c r="B4" s="20">
        <v>2005</v>
      </c>
      <c r="C4" s="20" t="s">
        <v>78</v>
      </c>
      <c r="D4" s="21">
        <v>0.55000000000000004</v>
      </c>
      <c r="E4" s="21"/>
    </row>
    <row r="5" spans="1:5" x14ac:dyDescent="0.15">
      <c r="A5" s="19"/>
      <c r="B5" s="20">
        <v>2005</v>
      </c>
      <c r="C5" s="20" t="s">
        <v>79</v>
      </c>
      <c r="D5" s="21">
        <v>0.53</v>
      </c>
      <c r="E5" s="21"/>
    </row>
    <row r="6" spans="1:5" x14ac:dyDescent="0.15">
      <c r="A6" s="19"/>
      <c r="B6" s="20">
        <v>2005</v>
      </c>
      <c r="C6" s="20" t="s">
        <v>80</v>
      </c>
      <c r="D6" s="21">
        <v>0.62</v>
      </c>
      <c r="E6" s="21"/>
    </row>
    <row r="7" spans="1:5" x14ac:dyDescent="0.15">
      <c r="A7" s="19"/>
      <c r="B7" s="20">
        <v>2005</v>
      </c>
      <c r="C7" s="20" t="s">
        <v>81</v>
      </c>
      <c r="D7" s="21">
        <v>0.66</v>
      </c>
      <c r="E7" s="21"/>
    </row>
    <row r="8" spans="1:5" x14ac:dyDescent="0.15">
      <c r="A8" s="19"/>
      <c r="B8" s="20">
        <v>2005</v>
      </c>
      <c r="C8" s="20" t="s">
        <v>82</v>
      </c>
      <c r="D8" s="21">
        <v>0.66</v>
      </c>
      <c r="E8" s="21"/>
    </row>
    <row r="9" spans="1:5" x14ac:dyDescent="0.15">
      <c r="A9" s="19"/>
      <c r="B9" s="20">
        <v>2005</v>
      </c>
      <c r="C9" s="20" t="s">
        <v>83</v>
      </c>
      <c r="D9" s="21">
        <v>0.65</v>
      </c>
      <c r="E9" s="21"/>
    </row>
    <row r="10" spans="1:5" x14ac:dyDescent="0.15">
      <c r="A10" s="19"/>
      <c r="B10" s="22">
        <v>2005</v>
      </c>
      <c r="C10" s="20" t="s">
        <v>84</v>
      </c>
      <c r="D10" s="21">
        <v>0.66</v>
      </c>
      <c r="E10" s="21"/>
    </row>
    <row r="11" spans="1:5" x14ac:dyDescent="0.15">
      <c r="A11" s="19"/>
      <c r="B11" s="20">
        <v>2005</v>
      </c>
      <c r="C11" s="20" t="s">
        <v>85</v>
      </c>
      <c r="D11" s="21">
        <v>0.67</v>
      </c>
      <c r="E11" s="21"/>
    </row>
    <row r="12" spans="1:5" x14ac:dyDescent="0.15">
      <c r="A12" s="19"/>
      <c r="B12" s="20">
        <v>2010</v>
      </c>
      <c r="C12" s="20" t="s">
        <v>48</v>
      </c>
      <c r="D12" s="21">
        <v>0.51</v>
      </c>
      <c r="E12" s="21"/>
    </row>
    <row r="13" spans="1:5" x14ac:dyDescent="0.15">
      <c r="A13" s="19"/>
      <c r="B13" s="20">
        <v>2010</v>
      </c>
      <c r="C13" s="20" t="s">
        <v>49</v>
      </c>
      <c r="D13" s="21">
        <v>0.67</v>
      </c>
      <c r="E13" s="21"/>
    </row>
    <row r="14" spans="1:5" x14ac:dyDescent="0.15">
      <c r="A14" s="19"/>
      <c r="B14" s="20">
        <v>2010</v>
      </c>
      <c r="C14" s="20" t="s">
        <v>53</v>
      </c>
      <c r="D14" s="21">
        <v>0.67</v>
      </c>
      <c r="E14" s="21"/>
    </row>
    <row r="15" spans="1:5" x14ac:dyDescent="0.15">
      <c r="A15" s="19"/>
      <c r="B15" s="20">
        <v>2010</v>
      </c>
      <c r="C15" s="20" t="s">
        <v>54</v>
      </c>
      <c r="D15" s="21">
        <v>0.77</v>
      </c>
      <c r="E15" s="21"/>
    </row>
    <row r="16" spans="1:5" x14ac:dyDescent="0.15">
      <c r="A16" s="19"/>
      <c r="B16" s="20">
        <v>2010</v>
      </c>
      <c r="C16" s="20" t="s">
        <v>86</v>
      </c>
      <c r="D16" s="21">
        <v>0.71</v>
      </c>
      <c r="E16" s="21"/>
    </row>
    <row r="17" spans="1:5" x14ac:dyDescent="0.15">
      <c r="A17" s="19"/>
      <c r="B17" s="22">
        <v>2010</v>
      </c>
      <c r="C17" s="20" t="s">
        <v>87</v>
      </c>
      <c r="D17" s="21">
        <v>0.84</v>
      </c>
      <c r="E17" s="21"/>
    </row>
    <row r="18" spans="1:5" x14ac:dyDescent="0.15">
      <c r="A18" s="19"/>
      <c r="B18" s="20">
        <v>2010</v>
      </c>
      <c r="C18" s="20" t="s">
        <v>88</v>
      </c>
      <c r="D18" s="21">
        <v>0.98</v>
      </c>
      <c r="E18" s="21"/>
    </row>
    <row r="19" spans="1:5" x14ac:dyDescent="0.15">
      <c r="A19" s="19"/>
      <c r="B19" s="20">
        <v>2010</v>
      </c>
      <c r="C19" s="20" t="s">
        <v>89</v>
      </c>
      <c r="D19" s="21">
        <v>0.95</v>
      </c>
      <c r="E19" s="21"/>
    </row>
    <row r="20" spans="1:5" x14ac:dyDescent="0.15">
      <c r="A20" s="19"/>
      <c r="B20" s="20">
        <v>2010</v>
      </c>
      <c r="C20" s="20" t="s">
        <v>90</v>
      </c>
      <c r="D20" s="21">
        <v>1.1200000000000001</v>
      </c>
      <c r="E20" s="21"/>
    </row>
    <row r="21" spans="1:5" x14ac:dyDescent="0.15">
      <c r="A21" s="19"/>
      <c r="B21" s="20">
        <v>2010</v>
      </c>
      <c r="C21" s="20" t="s">
        <v>46</v>
      </c>
      <c r="D21" s="21">
        <v>0.75</v>
      </c>
      <c r="E21" s="21"/>
    </row>
    <row r="22" spans="1:5" x14ac:dyDescent="0.15">
      <c r="A22" s="19"/>
      <c r="B22" s="20">
        <v>2015</v>
      </c>
      <c r="C22" s="20" t="s">
        <v>36</v>
      </c>
      <c r="D22" s="21">
        <v>0.55383754343949343</v>
      </c>
      <c r="E22" s="21">
        <v>6.7588441576256944E-2</v>
      </c>
    </row>
    <row r="23" spans="1:5" x14ac:dyDescent="0.15">
      <c r="A23" s="19"/>
      <c r="B23" s="22">
        <v>2015</v>
      </c>
      <c r="C23" s="20" t="s">
        <v>91</v>
      </c>
      <c r="D23" s="21">
        <v>0.65161043786985939</v>
      </c>
      <c r="E23" s="21">
        <v>9.8669344457686298E-2</v>
      </c>
    </row>
    <row r="24" spans="1:5" x14ac:dyDescent="0.15">
      <c r="A24" s="19"/>
      <c r="B24" s="20">
        <v>2015</v>
      </c>
      <c r="C24" s="20" t="s">
        <v>38</v>
      </c>
      <c r="D24" s="21">
        <v>0.80938321621809217</v>
      </c>
      <c r="E24" s="21">
        <v>0.21306928056150629</v>
      </c>
    </row>
    <row r="25" spans="1:5" x14ac:dyDescent="0.15">
      <c r="A25" s="19"/>
      <c r="B25" s="20">
        <v>2015</v>
      </c>
      <c r="C25" s="20" t="s">
        <v>39</v>
      </c>
      <c r="D25" s="21">
        <v>0.85910493350493355</v>
      </c>
      <c r="E25" s="21">
        <v>0.26319174532872985</v>
      </c>
    </row>
    <row r="26" spans="1:5" x14ac:dyDescent="0.15">
      <c r="A26" s="19"/>
      <c r="B26" s="20">
        <v>2015</v>
      </c>
      <c r="C26" s="20" t="s">
        <v>40</v>
      </c>
      <c r="D26" s="21">
        <v>0.93079145450731338</v>
      </c>
      <c r="E26" s="21">
        <v>0.14503061394021405</v>
      </c>
    </row>
    <row r="27" spans="1:5" x14ac:dyDescent="0.15">
      <c r="A27" s="19"/>
      <c r="B27" s="20"/>
      <c r="C27" s="20"/>
      <c r="D27" s="21"/>
      <c r="E27" s="21"/>
    </row>
    <row r="28" spans="1:5" x14ac:dyDescent="0.15">
      <c r="A28" s="19" t="s">
        <v>41</v>
      </c>
      <c r="B28" s="20">
        <v>2002</v>
      </c>
      <c r="C28" s="20" t="s">
        <v>36</v>
      </c>
      <c r="D28" s="21">
        <v>0.85</v>
      </c>
      <c r="E28" s="21"/>
    </row>
    <row r="29" spans="1:5" x14ac:dyDescent="0.15">
      <c r="A29" s="19"/>
      <c r="B29" s="22">
        <v>2002</v>
      </c>
      <c r="C29" s="20" t="s">
        <v>91</v>
      </c>
      <c r="D29" s="21">
        <v>0.89</v>
      </c>
      <c r="E29" s="21"/>
    </row>
    <row r="30" spans="1:5" x14ac:dyDescent="0.15">
      <c r="A30" s="19"/>
      <c r="B30" s="20">
        <v>2002</v>
      </c>
      <c r="C30" s="20" t="s">
        <v>78</v>
      </c>
      <c r="D30" s="21">
        <v>0.95</v>
      </c>
      <c r="E30" s="21"/>
    </row>
    <row r="31" spans="1:5" x14ac:dyDescent="0.15">
      <c r="A31" s="19"/>
      <c r="B31" s="20">
        <v>2002</v>
      </c>
      <c r="C31" s="20" t="s">
        <v>79</v>
      </c>
      <c r="D31" s="21">
        <v>0.96</v>
      </c>
      <c r="E31" s="21"/>
    </row>
    <row r="32" spans="1:5" x14ac:dyDescent="0.15">
      <c r="A32" s="19"/>
      <c r="B32" s="20">
        <v>2002</v>
      </c>
      <c r="C32" s="20" t="s">
        <v>80</v>
      </c>
      <c r="D32" s="21">
        <v>1.02</v>
      </c>
      <c r="E32" s="21"/>
    </row>
    <row r="33" spans="1:5" x14ac:dyDescent="0.15">
      <c r="A33" s="19"/>
      <c r="B33" s="20">
        <v>2002</v>
      </c>
      <c r="C33" s="20" t="s">
        <v>81</v>
      </c>
      <c r="D33" s="21">
        <v>1.04</v>
      </c>
      <c r="E33" s="21"/>
    </row>
    <row r="34" spans="1:5" x14ac:dyDescent="0.15">
      <c r="A34" s="19"/>
      <c r="B34" s="20">
        <v>2004</v>
      </c>
      <c r="C34" s="20" t="s">
        <v>36</v>
      </c>
      <c r="D34" s="21">
        <v>0.83</v>
      </c>
      <c r="E34" s="21"/>
    </row>
    <row r="35" spans="1:5" x14ac:dyDescent="0.15">
      <c r="A35" s="19"/>
      <c r="B35" s="22">
        <v>2004</v>
      </c>
      <c r="C35" s="20" t="s">
        <v>37</v>
      </c>
      <c r="D35" s="21">
        <v>0.87</v>
      </c>
      <c r="E35" s="21"/>
    </row>
    <row r="36" spans="1:5" x14ac:dyDescent="0.15">
      <c r="A36" s="19"/>
      <c r="B36" s="20">
        <v>2004</v>
      </c>
      <c r="C36" s="20" t="s">
        <v>78</v>
      </c>
      <c r="D36" s="21">
        <v>0.87</v>
      </c>
      <c r="E36" s="21"/>
    </row>
    <row r="37" spans="1:5" x14ac:dyDescent="0.15">
      <c r="A37" s="19"/>
      <c r="B37" s="20">
        <v>2004</v>
      </c>
      <c r="C37" s="20" t="s">
        <v>79</v>
      </c>
      <c r="D37" s="21">
        <v>1.02</v>
      </c>
      <c r="E37" s="21"/>
    </row>
    <row r="38" spans="1:5" x14ac:dyDescent="0.15">
      <c r="A38" s="19"/>
      <c r="B38" s="20">
        <v>2004</v>
      </c>
      <c r="C38" s="20" t="s">
        <v>80</v>
      </c>
      <c r="D38" s="21">
        <v>1.04</v>
      </c>
      <c r="E38" s="21"/>
    </row>
    <row r="39" spans="1:5" x14ac:dyDescent="0.15">
      <c r="A39" s="19"/>
      <c r="B39" s="20">
        <v>2004</v>
      </c>
      <c r="C39" s="20" t="s">
        <v>81</v>
      </c>
      <c r="D39" s="21">
        <v>1.05</v>
      </c>
      <c r="E39" s="21"/>
    </row>
    <row r="40" spans="1:5" x14ac:dyDescent="0.15">
      <c r="B40" s="20">
        <v>2005</v>
      </c>
      <c r="C40" s="20" t="s">
        <v>36</v>
      </c>
      <c r="D40" s="21">
        <v>0.66</v>
      </c>
      <c r="E40" s="21">
        <v>6.3639610306787511E-2</v>
      </c>
    </row>
    <row r="41" spans="1:5" x14ac:dyDescent="0.15">
      <c r="B41" s="22">
        <v>2005</v>
      </c>
      <c r="C41" s="20" t="s">
        <v>37</v>
      </c>
      <c r="D41" s="21">
        <v>0.84</v>
      </c>
      <c r="E41" s="21">
        <v>2.1213203435592642E-2</v>
      </c>
    </row>
    <row r="42" spans="1:5" x14ac:dyDescent="0.15">
      <c r="B42" s="20">
        <v>2005</v>
      </c>
      <c r="C42" s="20" t="s">
        <v>78</v>
      </c>
      <c r="D42" s="21">
        <v>0.94</v>
      </c>
      <c r="E42" s="21">
        <v>9.1923881554249132E-2</v>
      </c>
    </row>
    <row r="43" spans="1:5" x14ac:dyDescent="0.15">
      <c r="B43" s="20">
        <v>2005</v>
      </c>
      <c r="C43" s="20" t="s">
        <v>79</v>
      </c>
      <c r="D43" s="21">
        <v>0.95</v>
      </c>
      <c r="E43" s="21"/>
    </row>
    <row r="44" spans="1:5" x14ac:dyDescent="0.15">
      <c r="B44" s="20">
        <v>2005</v>
      </c>
      <c r="C44" s="20" t="s">
        <v>80</v>
      </c>
      <c r="D44" s="21">
        <v>0.97</v>
      </c>
      <c r="E44" s="21">
        <v>9.1923881554249132E-2</v>
      </c>
    </row>
    <row r="45" spans="1:5" x14ac:dyDescent="0.15">
      <c r="B45" s="20">
        <v>2005</v>
      </c>
      <c r="C45" s="20" t="s">
        <v>81</v>
      </c>
      <c r="D45" s="21">
        <v>1.02</v>
      </c>
      <c r="E45" s="21">
        <v>9.1923881554250339E-2</v>
      </c>
    </row>
    <row r="46" spans="1:5" x14ac:dyDescent="0.15">
      <c r="B46" s="20">
        <v>2005</v>
      </c>
      <c r="C46" s="20" t="s">
        <v>82</v>
      </c>
      <c r="D46" s="21">
        <v>1.1000000000000001</v>
      </c>
      <c r="E46" s="21">
        <v>7.7781745930518079E-2</v>
      </c>
    </row>
    <row r="47" spans="1:5" x14ac:dyDescent="0.15">
      <c r="A47" s="23"/>
      <c r="B47" s="22">
        <v>2015</v>
      </c>
      <c r="C47" s="20" t="s">
        <v>92</v>
      </c>
      <c r="D47" s="21">
        <v>0.79647396963444128</v>
      </c>
      <c r="E47" s="21"/>
    </row>
    <row r="48" spans="1:5" x14ac:dyDescent="0.15">
      <c r="A48" s="23"/>
      <c r="B48" s="20">
        <v>2015</v>
      </c>
      <c r="C48" s="20" t="s">
        <v>37</v>
      </c>
      <c r="D48" s="21">
        <v>0.82667778812899995</v>
      </c>
      <c r="E48" s="21"/>
    </row>
    <row r="49" spans="1:5" x14ac:dyDescent="0.15">
      <c r="A49" s="23"/>
      <c r="B49" s="20">
        <v>2015</v>
      </c>
      <c r="C49" s="20" t="s">
        <v>93</v>
      </c>
      <c r="D49" s="21">
        <v>0.9378595991316282</v>
      </c>
      <c r="E49" s="21"/>
    </row>
    <row r="50" spans="1:5" x14ac:dyDescent="0.15">
      <c r="A50" s="23"/>
      <c r="B50" s="20">
        <v>2015</v>
      </c>
      <c r="C50" s="20" t="s">
        <v>94</v>
      </c>
      <c r="D50" s="21">
        <v>1.0410032003873442</v>
      </c>
      <c r="E50" s="21"/>
    </row>
    <row r="51" spans="1:5" x14ac:dyDescent="0.15">
      <c r="A51" s="23"/>
      <c r="B51" s="20">
        <v>2015</v>
      </c>
      <c r="C51" s="20" t="s">
        <v>95</v>
      </c>
      <c r="D51" s="21">
        <v>1.2164475695505961</v>
      </c>
      <c r="E51" s="21"/>
    </row>
    <row r="52" spans="1:5" x14ac:dyDescent="0.15">
      <c r="B52" s="20"/>
      <c r="C52" s="20"/>
      <c r="D52" s="21"/>
      <c r="E52" s="21"/>
    </row>
    <row r="53" spans="1:5" x14ac:dyDescent="0.15">
      <c r="A53" t="s">
        <v>96</v>
      </c>
      <c r="B53" s="22">
        <v>2005</v>
      </c>
      <c r="C53" s="20" t="s">
        <v>48</v>
      </c>
      <c r="D53" s="21">
        <v>1.2170000000000001</v>
      </c>
      <c r="E53" s="21"/>
    </row>
    <row r="54" spans="1:5" x14ac:dyDescent="0.15">
      <c r="B54" s="20">
        <v>2005</v>
      </c>
      <c r="C54" s="20" t="s">
        <v>91</v>
      </c>
      <c r="D54" s="21">
        <v>1.321</v>
      </c>
      <c r="E54" s="21"/>
    </row>
    <row r="55" spans="1:5" x14ac:dyDescent="0.15">
      <c r="B55" s="20">
        <v>2005</v>
      </c>
      <c r="C55" s="20" t="s">
        <v>97</v>
      </c>
      <c r="D55" s="21">
        <v>1.4470000000000001</v>
      </c>
      <c r="E55" s="21"/>
    </row>
    <row r="56" spans="1:5" x14ac:dyDescent="0.15">
      <c r="B56" s="20">
        <v>2005</v>
      </c>
      <c r="C56" s="20" t="s">
        <v>54</v>
      </c>
      <c r="D56" s="21">
        <v>1.482</v>
      </c>
      <c r="E56" s="21"/>
    </row>
    <row r="57" spans="1:5" x14ac:dyDescent="0.15">
      <c r="B57" s="20">
        <v>2005</v>
      </c>
      <c r="C57" s="20" t="s">
        <v>51</v>
      </c>
      <c r="D57" s="21">
        <v>1.516</v>
      </c>
      <c r="E57" s="21"/>
    </row>
    <row r="58" spans="1:5" x14ac:dyDescent="0.15">
      <c r="B58" s="20">
        <v>2005</v>
      </c>
      <c r="C58" s="20" t="s">
        <v>69</v>
      </c>
      <c r="D58" s="21">
        <v>1.5549999999999999</v>
      </c>
      <c r="E58" s="21"/>
    </row>
    <row r="59" spans="1:5" x14ac:dyDescent="0.15">
      <c r="B59" s="22">
        <v>2010</v>
      </c>
      <c r="C59" s="20" t="s">
        <v>48</v>
      </c>
      <c r="D59" s="21">
        <v>1.135</v>
      </c>
      <c r="E59" s="21"/>
    </row>
    <row r="60" spans="1:5" x14ac:dyDescent="0.15">
      <c r="B60" s="20">
        <v>2010</v>
      </c>
      <c r="C60" s="20" t="s">
        <v>49</v>
      </c>
      <c r="D60" s="21">
        <v>1.2490000000000001</v>
      </c>
      <c r="E60" s="21"/>
    </row>
    <row r="61" spans="1:5" x14ac:dyDescent="0.15">
      <c r="B61" s="20">
        <v>2010</v>
      </c>
      <c r="C61" s="20" t="s">
        <v>53</v>
      </c>
      <c r="D61" s="21">
        <v>1.337</v>
      </c>
      <c r="E61" s="21"/>
    </row>
    <row r="62" spans="1:5" x14ac:dyDescent="0.15">
      <c r="B62" s="20">
        <v>2010</v>
      </c>
      <c r="C62" s="20" t="s">
        <v>54</v>
      </c>
      <c r="D62" s="21">
        <v>1.339</v>
      </c>
      <c r="E62" s="21"/>
    </row>
    <row r="63" spans="1:5" x14ac:dyDescent="0.15">
      <c r="B63" s="20">
        <v>2010</v>
      </c>
      <c r="C63" s="20" t="s">
        <v>51</v>
      </c>
      <c r="D63" s="21">
        <v>1.37</v>
      </c>
      <c r="E63" s="21"/>
    </row>
    <row r="64" spans="1:5" x14ac:dyDescent="0.15">
      <c r="B64" s="20">
        <v>2010</v>
      </c>
      <c r="C64" s="20" t="s">
        <v>52</v>
      </c>
      <c r="D64" s="21">
        <v>1.38</v>
      </c>
      <c r="E64" s="21"/>
    </row>
    <row r="65" spans="1:5" x14ac:dyDescent="0.15">
      <c r="B65" s="22">
        <v>2010</v>
      </c>
      <c r="C65" s="20" t="s">
        <v>98</v>
      </c>
      <c r="D65" s="21">
        <v>1.4650000000000001</v>
      </c>
      <c r="E65" s="21"/>
    </row>
    <row r="66" spans="1:5" x14ac:dyDescent="0.15">
      <c r="B66" s="20">
        <v>2010</v>
      </c>
      <c r="C66" s="20" t="s">
        <v>99</v>
      </c>
      <c r="D66" s="21">
        <v>1.4550000000000001</v>
      </c>
      <c r="E66" s="21"/>
    </row>
    <row r="67" spans="1:5" x14ac:dyDescent="0.15">
      <c r="B67" s="20">
        <v>2015</v>
      </c>
      <c r="C67" s="20" t="s">
        <v>36</v>
      </c>
      <c r="D67" s="21">
        <v>0.77783333333333327</v>
      </c>
      <c r="E67" s="21">
        <v>3.1547001970604116E-2</v>
      </c>
    </row>
    <row r="68" spans="1:5" x14ac:dyDescent="0.15">
      <c r="B68" s="20">
        <v>2015</v>
      </c>
      <c r="C68" s="20" t="s">
        <v>91</v>
      </c>
      <c r="D68" s="21">
        <v>0.87533333333333319</v>
      </c>
      <c r="E68" s="21">
        <v>3.3228351348412392E-2</v>
      </c>
    </row>
    <row r="69" spans="1:5" x14ac:dyDescent="0.15">
      <c r="B69" s="20">
        <v>2015</v>
      </c>
      <c r="C69" s="20" t="s">
        <v>78</v>
      </c>
      <c r="D69" s="21">
        <v>0.9501666666666666</v>
      </c>
      <c r="E69" s="21">
        <v>1.8302003533318543E-2</v>
      </c>
    </row>
    <row r="70" spans="1:5" x14ac:dyDescent="0.15">
      <c r="B70" s="20">
        <v>2015</v>
      </c>
      <c r="C70" s="20" t="s">
        <v>100</v>
      </c>
      <c r="D70" s="21">
        <v>0.94959999999999989</v>
      </c>
      <c r="E70" s="21">
        <v>8.5183273005912871E-2</v>
      </c>
    </row>
    <row r="71" spans="1:5" x14ac:dyDescent="0.15">
      <c r="B71" s="22">
        <v>2015</v>
      </c>
      <c r="C71" s="20" t="s">
        <v>39</v>
      </c>
      <c r="D71" s="21">
        <v>0.89556666666666673</v>
      </c>
      <c r="E71" s="21">
        <v>9.730803324152193E-2</v>
      </c>
    </row>
    <row r="72" spans="1:5" x14ac:dyDescent="0.15">
      <c r="B72" s="20">
        <v>2015</v>
      </c>
      <c r="C72" s="20" t="s">
        <v>70</v>
      </c>
      <c r="D72" s="21">
        <v>0.87709999999999999</v>
      </c>
      <c r="E72" s="21">
        <v>3.4641593496836556E-2</v>
      </c>
    </row>
    <row r="73" spans="1:5" x14ac:dyDescent="0.15">
      <c r="B73" s="20">
        <v>2015</v>
      </c>
      <c r="C73" s="20" t="s">
        <v>71</v>
      </c>
      <c r="D73" s="21">
        <v>0.85566666666666658</v>
      </c>
      <c r="E73" s="21">
        <v>3.6895708874252149E-2</v>
      </c>
    </row>
    <row r="74" spans="1:5" x14ac:dyDescent="0.15">
      <c r="B74" s="20"/>
      <c r="C74" s="20"/>
      <c r="D74" s="21"/>
      <c r="E74" s="21"/>
    </row>
    <row r="75" spans="1:5" x14ac:dyDescent="0.15">
      <c r="A75" t="s">
        <v>101</v>
      </c>
      <c r="B75" s="20">
        <v>2005</v>
      </c>
      <c r="C75" s="20" t="s">
        <v>92</v>
      </c>
      <c r="D75" s="21">
        <v>1.1499999999999999</v>
      </c>
      <c r="E75" s="21">
        <v>0.26394380715094107</v>
      </c>
    </row>
    <row r="76" spans="1:5" x14ac:dyDescent="0.15">
      <c r="B76" s="22">
        <v>2005</v>
      </c>
      <c r="C76" s="20" t="s">
        <v>91</v>
      </c>
      <c r="D76" s="21">
        <v>1.62</v>
      </c>
      <c r="E76" s="21">
        <v>5.153962876596388E-2</v>
      </c>
    </row>
    <row r="77" spans="1:5" x14ac:dyDescent="0.15">
      <c r="B77" s="20">
        <v>2005</v>
      </c>
      <c r="C77" s="20" t="s">
        <v>78</v>
      </c>
      <c r="D77" s="21">
        <v>1.64</v>
      </c>
      <c r="E77" s="21">
        <v>2.8213471959320297E-2</v>
      </c>
    </row>
    <row r="78" spans="1:5" x14ac:dyDescent="0.15">
      <c r="B78" s="20">
        <v>2005</v>
      </c>
      <c r="C78" s="20" t="s">
        <v>79</v>
      </c>
      <c r="D78" s="21">
        <v>1.59</v>
      </c>
      <c r="E78" s="21">
        <v>5.3507008886683395E-2</v>
      </c>
    </row>
    <row r="79" spans="1:5" x14ac:dyDescent="0.15">
      <c r="B79" s="20">
        <v>2005</v>
      </c>
      <c r="C79" s="20" t="s">
        <v>80</v>
      </c>
      <c r="D79" s="21">
        <v>1.55</v>
      </c>
      <c r="E79" s="21">
        <v>2.2869193252054807E-2</v>
      </c>
    </row>
    <row r="80" spans="1:5" x14ac:dyDescent="0.15">
      <c r="B80" s="20">
        <v>2005</v>
      </c>
      <c r="C80" s="20" t="s">
        <v>81</v>
      </c>
      <c r="D80" s="21">
        <v>1.56</v>
      </c>
      <c r="E80" s="21">
        <v>1.6441816606879562E-2</v>
      </c>
    </row>
    <row r="81" spans="1:5" x14ac:dyDescent="0.15">
      <c r="B81" s="20">
        <v>2005</v>
      </c>
      <c r="C81" s="20" t="s">
        <v>102</v>
      </c>
      <c r="D81" s="21">
        <v>1.54</v>
      </c>
      <c r="E81" s="21">
        <v>2.7098585448937965E-2</v>
      </c>
    </row>
    <row r="82" spans="1:5" x14ac:dyDescent="0.15">
      <c r="B82" s="22">
        <v>2005</v>
      </c>
      <c r="C82" s="20" t="s">
        <v>83</v>
      </c>
      <c r="D82" s="21">
        <v>1.54</v>
      </c>
      <c r="E82" s="21">
        <v>3.6746881953892932E-2</v>
      </c>
    </row>
    <row r="83" spans="1:5" x14ac:dyDescent="0.15">
      <c r="B83" s="20">
        <v>2005</v>
      </c>
      <c r="C83" s="20" t="s">
        <v>84</v>
      </c>
      <c r="D83" s="21">
        <v>1.56</v>
      </c>
      <c r="E83" s="21">
        <v>4.7427137098219677E-2</v>
      </c>
    </row>
    <row r="84" spans="1:5" x14ac:dyDescent="0.15">
      <c r="B84" s="20">
        <v>2005</v>
      </c>
      <c r="C84" s="20" t="s">
        <v>85</v>
      </c>
      <c r="D84" s="21">
        <v>1.57</v>
      </c>
      <c r="E84" s="21">
        <v>4.9122296363262791E-2</v>
      </c>
    </row>
    <row r="85" spans="1:5" x14ac:dyDescent="0.15">
      <c r="B85" s="20"/>
      <c r="C85" s="20"/>
      <c r="D85" s="21"/>
      <c r="E85" s="21"/>
    </row>
    <row r="86" spans="1:5" x14ac:dyDescent="0.15">
      <c r="E86" s="21"/>
    </row>
    <row r="87" spans="1:5" x14ac:dyDescent="0.15">
      <c r="A87" t="s">
        <v>103</v>
      </c>
      <c r="B87" s="20">
        <v>2005</v>
      </c>
      <c r="C87" s="20" t="s">
        <v>36</v>
      </c>
      <c r="D87" s="21">
        <v>0.93600000000000005</v>
      </c>
      <c r="E87" s="21">
        <v>0.14864939844302902</v>
      </c>
    </row>
    <row r="88" spans="1:5" x14ac:dyDescent="0.15">
      <c r="B88" s="20">
        <v>2005</v>
      </c>
      <c r="C88" s="20" t="s">
        <v>37</v>
      </c>
      <c r="D88" s="21">
        <v>1.276</v>
      </c>
      <c r="E88" s="21">
        <v>0.12112668082094831</v>
      </c>
    </row>
    <row r="89" spans="1:5" x14ac:dyDescent="0.15">
      <c r="B89" s="22">
        <v>2005</v>
      </c>
      <c r="C89" s="20" t="s">
        <v>38</v>
      </c>
      <c r="D89" s="21">
        <v>1.2689999999999999</v>
      </c>
      <c r="E89" s="21">
        <v>0.14805095541401278</v>
      </c>
    </row>
    <row r="90" spans="1:5" x14ac:dyDescent="0.15">
      <c r="B90" s="20">
        <v>2005</v>
      </c>
      <c r="C90" s="20" t="s">
        <v>39</v>
      </c>
      <c r="D90" s="21">
        <v>1.5629999999999999</v>
      </c>
      <c r="E90" s="21">
        <v>9.1901486199575236E-2</v>
      </c>
    </row>
    <row r="91" spans="1:5" x14ac:dyDescent="0.15">
      <c r="B91" s="20">
        <v>2005</v>
      </c>
      <c r="C91" s="20" t="s">
        <v>70</v>
      </c>
      <c r="D91" s="21">
        <v>1.288</v>
      </c>
      <c r="E91" s="21">
        <v>0.15711762208067934</v>
      </c>
    </row>
    <row r="92" spans="1:5" x14ac:dyDescent="0.15">
      <c r="B92" s="20">
        <v>2010</v>
      </c>
      <c r="C92" s="20" t="s">
        <v>48</v>
      </c>
      <c r="D92" s="21">
        <v>1.0620000000000001</v>
      </c>
      <c r="E92" s="21">
        <v>5.1195805205699503E-2</v>
      </c>
    </row>
    <row r="93" spans="1:5" x14ac:dyDescent="0.15">
      <c r="B93" s="20">
        <v>2010</v>
      </c>
      <c r="C93" s="20" t="s">
        <v>49</v>
      </c>
      <c r="D93" s="21">
        <v>1.3029999999999999</v>
      </c>
      <c r="E93" s="21">
        <v>0.29890729194301424</v>
      </c>
    </row>
    <row r="94" spans="1:5" x14ac:dyDescent="0.15">
      <c r="B94" s="20">
        <v>2015</v>
      </c>
      <c r="C94" s="20" t="s">
        <v>92</v>
      </c>
      <c r="D94" s="21">
        <v>1.1844565057892287</v>
      </c>
      <c r="E94" s="21">
        <v>3.8984414441668225E-2</v>
      </c>
    </row>
    <row r="95" spans="1:5" x14ac:dyDescent="0.15">
      <c r="B95" s="22">
        <v>2015</v>
      </c>
      <c r="C95" s="20" t="s">
        <v>91</v>
      </c>
      <c r="D95" s="21">
        <v>1.2519239707843879</v>
      </c>
      <c r="E95" s="21">
        <v>4.7967965096054006E-2</v>
      </c>
    </row>
    <row r="96" spans="1:5" x14ac:dyDescent="0.15">
      <c r="B96" s="20">
        <v>2015</v>
      </c>
      <c r="C96" s="20" t="s">
        <v>38</v>
      </c>
      <c r="D96" s="21">
        <v>1.3333853113676259</v>
      </c>
      <c r="E96" s="21">
        <v>9.1081149980168419E-2</v>
      </c>
    </row>
    <row r="97" spans="1:5" x14ac:dyDescent="0.15">
      <c r="B97" s="20">
        <v>2015</v>
      </c>
      <c r="C97" s="20" t="s">
        <v>39</v>
      </c>
      <c r="D97" s="21">
        <v>1.3298578546435575</v>
      </c>
      <c r="E97" s="21">
        <v>4.3904874020922205E-2</v>
      </c>
    </row>
    <row r="98" spans="1:5" x14ac:dyDescent="0.15">
      <c r="B98" s="20">
        <v>2015</v>
      </c>
      <c r="C98" s="20" t="s">
        <v>40</v>
      </c>
      <c r="D98" s="21">
        <v>1.2667342203850094</v>
      </c>
      <c r="E98" s="21">
        <v>0.22747690324297568</v>
      </c>
    </row>
    <row r="99" spans="1:5" x14ac:dyDescent="0.15">
      <c r="B99" s="20"/>
      <c r="C99" s="20"/>
      <c r="D99" s="21"/>
      <c r="E99" s="21"/>
    </row>
    <row r="100" spans="1:5" x14ac:dyDescent="0.15">
      <c r="A100" t="s">
        <v>104</v>
      </c>
      <c r="B100" s="20">
        <v>2005</v>
      </c>
      <c r="C100" s="20" t="s">
        <v>72</v>
      </c>
      <c r="D100" s="21">
        <v>1.1839999999999999</v>
      </c>
      <c r="E100" s="21"/>
    </row>
    <row r="101" spans="1:5" x14ac:dyDescent="0.15">
      <c r="B101" s="22">
        <v>2005</v>
      </c>
      <c r="C101" s="20" t="s">
        <v>38</v>
      </c>
      <c r="D101" s="21">
        <v>1.2689999999999999</v>
      </c>
      <c r="E101" s="21"/>
    </row>
    <row r="102" spans="1:5" x14ac:dyDescent="0.15">
      <c r="B102" s="20">
        <v>2005</v>
      </c>
      <c r="C102" s="20" t="s">
        <v>39</v>
      </c>
      <c r="D102" s="21">
        <v>1.337</v>
      </c>
      <c r="E102" s="21"/>
    </row>
    <row r="103" spans="1:5" x14ac:dyDescent="0.15">
      <c r="B103" s="20">
        <v>2005</v>
      </c>
      <c r="C103" s="20" t="s">
        <v>40</v>
      </c>
      <c r="D103" s="21">
        <v>1.3120000000000001</v>
      </c>
      <c r="E103" s="21"/>
    </row>
    <row r="104" spans="1:5" x14ac:dyDescent="0.15">
      <c r="B104" s="20">
        <v>2010</v>
      </c>
      <c r="C104" s="20" t="s">
        <v>68</v>
      </c>
      <c r="D104" s="21">
        <v>1.1319999999999999</v>
      </c>
      <c r="E104" s="21"/>
    </row>
    <row r="105" spans="1:5" x14ac:dyDescent="0.15">
      <c r="B105" s="20">
        <v>2015</v>
      </c>
      <c r="C105" s="20" t="s">
        <v>36</v>
      </c>
      <c r="D105" s="21">
        <v>1.0690333333333333</v>
      </c>
      <c r="E105" s="21">
        <v>0.15287868829020393</v>
      </c>
    </row>
    <row r="106" spans="1:5" x14ac:dyDescent="0.15">
      <c r="B106" s="20">
        <v>2015</v>
      </c>
      <c r="C106" s="20" t="s">
        <v>91</v>
      </c>
      <c r="D106" s="21">
        <v>1.1929000000000001</v>
      </c>
      <c r="E106" s="21">
        <v>7.6449264221442992E-2</v>
      </c>
    </row>
    <row r="107" spans="1:5" x14ac:dyDescent="0.15">
      <c r="B107" s="22">
        <v>2015</v>
      </c>
      <c r="C107" s="20" t="s">
        <v>38</v>
      </c>
      <c r="D107" s="21">
        <v>1.2311666666666667</v>
      </c>
      <c r="E107" s="21">
        <v>8.69037014938564E-2</v>
      </c>
    </row>
    <row r="108" spans="1:5" x14ac:dyDescent="0.15">
      <c r="B108" s="20">
        <v>2015</v>
      </c>
      <c r="C108" s="20" t="s">
        <v>39</v>
      </c>
      <c r="D108" s="21">
        <v>1.2537</v>
      </c>
      <c r="E108" s="21">
        <v>1.829289479552107E-2</v>
      </c>
    </row>
    <row r="109" spans="1:5" x14ac:dyDescent="0.15">
      <c r="B109" s="20">
        <v>2015</v>
      </c>
      <c r="C109" s="20" t="s">
        <v>70</v>
      </c>
      <c r="D109" s="21">
        <v>1.2752999999999999</v>
      </c>
      <c r="E109" s="21">
        <v>4.0989754817515163E-2</v>
      </c>
    </row>
    <row r="110" spans="1:5" x14ac:dyDescent="0.15">
      <c r="B110" s="20"/>
      <c r="C110" s="20"/>
      <c r="D110" s="21"/>
      <c r="E110" s="21"/>
    </row>
    <row r="111" spans="1:5" x14ac:dyDescent="0.15">
      <c r="A111" t="s">
        <v>105</v>
      </c>
      <c r="B111" s="20">
        <v>2005</v>
      </c>
      <c r="C111" s="20" t="s">
        <v>72</v>
      </c>
      <c r="D111" s="21">
        <v>1.33</v>
      </c>
      <c r="E111" s="21"/>
    </row>
    <row r="112" spans="1:5" x14ac:dyDescent="0.15">
      <c r="B112" s="20">
        <v>2005</v>
      </c>
      <c r="C112" s="20" t="s">
        <v>38</v>
      </c>
      <c r="D112" s="21">
        <v>1.46</v>
      </c>
      <c r="E112" s="21"/>
    </row>
    <row r="113" spans="1:6" x14ac:dyDescent="0.15">
      <c r="B113" s="22">
        <v>2005</v>
      </c>
      <c r="C113" s="20" t="s">
        <v>39</v>
      </c>
      <c r="D113" s="21">
        <v>1.47</v>
      </c>
      <c r="E113" s="21"/>
    </row>
    <row r="114" spans="1:6" x14ac:dyDescent="0.15">
      <c r="B114" s="20">
        <v>2005</v>
      </c>
      <c r="C114" s="20" t="s">
        <v>70</v>
      </c>
      <c r="D114" s="21">
        <v>1.55</v>
      </c>
      <c r="E114" s="21"/>
    </row>
    <row r="115" spans="1:6" x14ac:dyDescent="0.15">
      <c r="B115" s="20">
        <v>2005</v>
      </c>
      <c r="C115" s="20" t="s">
        <v>71</v>
      </c>
      <c r="D115" s="21">
        <v>1.53</v>
      </c>
      <c r="E115" s="21"/>
    </row>
    <row r="116" spans="1:6" x14ac:dyDescent="0.15">
      <c r="B116" s="20">
        <v>2008</v>
      </c>
      <c r="C116" s="20" t="s">
        <v>36</v>
      </c>
      <c r="D116" s="21">
        <v>1.21</v>
      </c>
      <c r="E116" s="21">
        <v>9.1923881554255168E-2</v>
      </c>
    </row>
    <row r="117" spans="1:6" x14ac:dyDescent="0.15">
      <c r="B117" s="20">
        <v>2008</v>
      </c>
      <c r="C117" s="20" t="s">
        <v>37</v>
      </c>
      <c r="D117" s="21">
        <v>1.44</v>
      </c>
      <c r="E117" s="21">
        <v>0.13435028842544447</v>
      </c>
    </row>
    <row r="118" spans="1:6" x14ac:dyDescent="0.15">
      <c r="B118" s="20">
        <v>2008</v>
      </c>
      <c r="C118" s="20" t="s">
        <v>38</v>
      </c>
      <c r="D118" s="21">
        <v>1.42</v>
      </c>
      <c r="E118" s="21">
        <v>9.8994949366113444E-2</v>
      </c>
    </row>
    <row r="119" spans="1:6" x14ac:dyDescent="0.15">
      <c r="B119" s="22">
        <v>2008</v>
      </c>
      <c r="C119" s="20" t="s">
        <v>39</v>
      </c>
      <c r="D119" s="21">
        <v>1.49</v>
      </c>
      <c r="E119" s="21">
        <v>0.10606601717798414</v>
      </c>
    </row>
    <row r="120" spans="1:6" x14ac:dyDescent="0.15">
      <c r="B120" s="20">
        <v>2008</v>
      </c>
      <c r="C120" s="20" t="s">
        <v>70</v>
      </c>
      <c r="D120" s="21">
        <v>1.54</v>
      </c>
      <c r="E120" s="21">
        <v>7.7781745930520937E-2</v>
      </c>
    </row>
    <row r="121" spans="1:6" x14ac:dyDescent="0.15">
      <c r="B121" s="20">
        <v>2008</v>
      </c>
      <c r="C121" s="20" t="s">
        <v>71</v>
      </c>
      <c r="D121" s="21">
        <v>1.56</v>
      </c>
      <c r="E121" s="21"/>
      <c r="F121" s="28"/>
    </row>
    <row r="122" spans="1:6" x14ac:dyDescent="0.15">
      <c r="B122" s="20">
        <v>2010</v>
      </c>
      <c r="C122" s="20" t="s">
        <v>106</v>
      </c>
      <c r="D122" s="21">
        <v>1.0331666666666666</v>
      </c>
      <c r="E122" s="21">
        <v>0.10841110029266821</v>
      </c>
    </row>
    <row r="123" spans="1:6" x14ac:dyDescent="0.15">
      <c r="B123" s="20"/>
      <c r="C123" s="20"/>
      <c r="D123" s="21"/>
      <c r="E123" s="21"/>
    </row>
    <row r="124" spans="1:6" x14ac:dyDescent="0.15">
      <c r="A124" t="s">
        <v>107</v>
      </c>
      <c r="B124" s="20">
        <v>2005</v>
      </c>
      <c r="C124" s="20" t="s">
        <v>108</v>
      </c>
      <c r="D124" s="21">
        <v>1.7250000000000003</v>
      </c>
      <c r="E124" s="21">
        <v>4.8041648597850081E-2</v>
      </c>
    </row>
    <row r="125" spans="1:6" x14ac:dyDescent="0.15">
      <c r="B125" s="22">
        <v>2005</v>
      </c>
      <c r="C125" s="20" t="s">
        <v>50</v>
      </c>
      <c r="D125" s="21">
        <v>1.7413333333333334</v>
      </c>
      <c r="E125" s="21">
        <v>0.13910547556920103</v>
      </c>
    </row>
    <row r="126" spans="1:6" x14ac:dyDescent="0.15">
      <c r="B126" s="20">
        <v>2005</v>
      </c>
      <c r="C126" s="20" t="s">
        <v>68</v>
      </c>
      <c r="D126" s="21">
        <v>1.2353333333333334</v>
      </c>
      <c r="E126" s="21">
        <v>7.7242043818977577E-2</v>
      </c>
    </row>
    <row r="127" spans="1:6" x14ac:dyDescent="0.15">
      <c r="B127" s="20">
        <v>2010</v>
      </c>
      <c r="C127" s="20" t="s">
        <v>68</v>
      </c>
      <c r="D127" s="21">
        <v>1.0386666666666666</v>
      </c>
      <c r="E127" s="21">
        <v>0.12807758065589109</v>
      </c>
    </row>
    <row r="128" spans="1:6" x14ac:dyDescent="0.15">
      <c r="B128" s="20">
        <v>2015</v>
      </c>
      <c r="C128" s="20" t="s">
        <v>36</v>
      </c>
      <c r="D128" s="21">
        <v>1.2086722222222221</v>
      </c>
      <c r="E128" s="21">
        <v>0.21204586920793286</v>
      </c>
    </row>
    <row r="129" spans="1:5" x14ac:dyDescent="0.15">
      <c r="B129" s="20">
        <v>2015</v>
      </c>
      <c r="C129" s="20" t="s">
        <v>91</v>
      </c>
      <c r="D129" s="21">
        <v>1.3470555555555557</v>
      </c>
      <c r="E129" s="21">
        <v>3.8853433043409477E-2</v>
      </c>
    </row>
    <row r="130" spans="1:5" x14ac:dyDescent="0.15">
      <c r="B130" s="20">
        <v>2015</v>
      </c>
      <c r="C130" s="20" t="s">
        <v>38</v>
      </c>
      <c r="D130" s="21">
        <v>1.5715277777777779</v>
      </c>
      <c r="E130" s="21">
        <v>6.3162362063822128E-2</v>
      </c>
    </row>
    <row r="131" spans="1:5" x14ac:dyDescent="0.15">
      <c r="B131" s="22">
        <v>2015</v>
      </c>
      <c r="C131" s="20" t="s">
        <v>39</v>
      </c>
      <c r="D131" s="21">
        <v>1.5930111111111112</v>
      </c>
      <c r="E131" s="21">
        <v>9.7851317673141897E-2</v>
      </c>
    </row>
    <row r="132" spans="1:5" x14ac:dyDescent="0.15">
      <c r="B132" s="20">
        <v>2015</v>
      </c>
      <c r="C132" s="20" t="s">
        <v>40</v>
      </c>
      <c r="D132" s="21">
        <v>1.6876388888888891</v>
      </c>
      <c r="E132" s="21">
        <v>0.20749273101948934</v>
      </c>
    </row>
    <row r="133" spans="1:5" x14ac:dyDescent="0.15">
      <c r="B133" s="20"/>
      <c r="C133" s="20"/>
      <c r="D133" s="21"/>
      <c r="E133" s="21"/>
    </row>
    <row r="134" spans="1:5" x14ac:dyDescent="0.15">
      <c r="A134" t="s">
        <v>109</v>
      </c>
      <c r="B134" s="20">
        <v>2010</v>
      </c>
      <c r="C134" s="20" t="s">
        <v>68</v>
      </c>
      <c r="D134" s="21">
        <v>0.92911111111111111</v>
      </c>
      <c r="E134" s="21">
        <v>3.9542714051612943E-2</v>
      </c>
    </row>
    <row r="135" spans="1:5" x14ac:dyDescent="0.15">
      <c r="B135" s="20">
        <v>2010</v>
      </c>
      <c r="C135" s="20" t="s">
        <v>38</v>
      </c>
      <c r="D135" s="21">
        <v>1.1529</v>
      </c>
      <c r="E135" s="21"/>
    </row>
    <row r="136" spans="1:5" x14ac:dyDescent="0.15">
      <c r="B136" s="20">
        <v>2010</v>
      </c>
      <c r="C136" s="20" t="s">
        <v>39</v>
      </c>
      <c r="D136" s="21">
        <v>1.3369</v>
      </c>
      <c r="E136" s="21"/>
    </row>
    <row r="137" spans="1:5" x14ac:dyDescent="0.15">
      <c r="B137" s="22">
        <v>2010</v>
      </c>
      <c r="C137" s="20" t="s">
        <v>40</v>
      </c>
      <c r="D137" s="21">
        <v>1.6129</v>
      </c>
      <c r="E137" s="21"/>
    </row>
    <row r="138" spans="1:5" x14ac:dyDescent="0.15">
      <c r="B138" s="20">
        <v>2015</v>
      </c>
      <c r="C138" s="20" t="s">
        <v>36</v>
      </c>
      <c r="D138" s="21">
        <v>0.79334111111111116</v>
      </c>
      <c r="E138" s="21">
        <v>8.8093683865740166E-2</v>
      </c>
    </row>
    <row r="139" spans="1:5" x14ac:dyDescent="0.15">
      <c r="B139" s="20">
        <v>2015</v>
      </c>
      <c r="C139" s="20" t="s">
        <v>91</v>
      </c>
      <c r="D139" s="21">
        <v>0.97587533333333332</v>
      </c>
      <c r="E139" s="21">
        <v>0.15952287888297118</v>
      </c>
    </row>
    <row r="140" spans="1:5" x14ac:dyDescent="0.15">
      <c r="B140" s="20">
        <v>2015</v>
      </c>
      <c r="C140" s="20" t="s">
        <v>38</v>
      </c>
      <c r="D140" s="21">
        <v>1.0458508888888889</v>
      </c>
      <c r="E140" s="21">
        <v>8.608905111784311E-2</v>
      </c>
    </row>
    <row r="141" spans="1:5" x14ac:dyDescent="0.15">
      <c r="B141" s="20">
        <v>2015</v>
      </c>
      <c r="C141" s="20" t="s">
        <v>39</v>
      </c>
      <c r="D141" s="21">
        <v>1.0761946666666666</v>
      </c>
      <c r="E141" s="21">
        <v>9.8782075306089193E-2</v>
      </c>
    </row>
    <row r="142" spans="1:5" x14ac:dyDescent="0.15">
      <c r="B142" s="20">
        <v>2015</v>
      </c>
      <c r="C142" s="20" t="s">
        <v>40</v>
      </c>
      <c r="D142" s="21">
        <v>1.1081982222222222</v>
      </c>
      <c r="E142" s="21">
        <v>0.11606523251906098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soil organic carbon density</vt:lpstr>
      <vt:lpstr>soil mechanical composition</vt:lpstr>
      <vt:lpstr>soil organic matter content</vt:lpstr>
      <vt:lpstr>soil bulk density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2017-06-02T01:15:10Z</dcterms:created>
  <dcterms:modified xsi:type="dcterms:W3CDTF">2020-12-21T16:19:23Z</dcterms:modified>
</cp:coreProperties>
</file>